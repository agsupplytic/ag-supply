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en" sheetId="1" state="visible" r:id="rId3"/>
    <sheet name="Especificaciones" sheetId="2" state="visible" r:id="rId4"/>
    <sheet name="1 Fotos de producto" sheetId="3" state="visible" r:id="rId5"/>
    <sheet name="2 Fotos existentes" sheetId="4" state="visible" r:id="rId6"/>
    <sheet name="3 Fotos del sitio" sheetId="5" state="visible" r:id="rId7"/>
    <sheet name="4 Logos y marca" sheetId="6" state="visible" r:id="rId8"/>
    <sheet name="5 Datos del cliente" sheetId="7" state="visible" r:id="rId9"/>
    <sheet name="6 Odoo (catálogo)" sheetId="8" state="visible" r:id="rId10"/>
    <sheet name="7 Técnico y Google" sheetId="9" state="visible" r:id="rId11"/>
  </sheets>
  <definedNames>
    <definedName function="false" hidden="true" localSheetId="2" name="_xlnm._FilterDatabase" vbProcedure="false">'1 Fotos de producto'!$A$4:$O$139</definedName>
    <definedName function="false" hidden="true" localSheetId="3" name="_xlnm._FilterDatabase" vbProcedure="false">'2 Fotos existentes'!$A$4:$I$37</definedName>
    <definedName function="false" hidden="true" localSheetId="4" name="_xlnm._FilterDatabase" vbProcedure="false">'3 Fotos del sitio'!$A$4:$M$15</definedName>
    <definedName function="false" hidden="true" localSheetId="5" name="_xlnm._FilterDatabase" vbProcedure="false">'4 Logos y marca'!$A$4:$J$12</definedName>
    <definedName function="false" hidden="true" localSheetId="6" name="_xlnm._FilterDatabase" vbProcedure="false">'5 Datos del cliente'!$A$4:$H$24</definedName>
    <definedName function="false" hidden="true" localSheetId="7" name="_xlnm._FilterDatabase" vbProcedure="false">'6 Odoo (catálogo)'!$A$4:$G$73</definedName>
    <definedName function="false" hidden="true" localSheetId="8" name="_xlnm._FilterDatabase" vbProcedure="false">'7 Técnico y Google'!$A$4:$H$20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<sst xmlns="http://schemas.openxmlformats.org/spreadsheetml/2006/main" count="2599" uniqueCount="988">
  <si>
    <t xml:space="preserve">AG Supply: pendientes del sitio y de Google</t>
  </si>
  <si>
    <t xml:space="preserve">Estado del sitio: publicado en https://agsupply.com.do. Lo que sigue depende de fotos, datos del cliente, correcciones en Odoo y pasos en Google.</t>
  </si>
  <si>
    <t xml:space="preserve">Hoja</t>
  </si>
  <si>
    <t xml:space="preserve">Qué contiene</t>
  </si>
  <si>
    <t xml:space="preserve">Filas</t>
  </si>
  <si>
    <t xml:space="preserve">Pendientes</t>
  </si>
  <si>
    <t xml:space="preserve">Entregadas</t>
  </si>
  <si>
    <t xml:space="preserve">% avance</t>
  </si>
  <si>
    <t xml:space="preserve">1 Fotos de producto</t>
  </si>
  <si>
    <t xml:space="preserve">135 fotos de producto con qué mostrar, medidas y archivo</t>
  </si>
  <si>
    <t xml:space="preserve">2 Fotos existentes</t>
  </si>
  <si>
    <t xml:space="preserve">Fotos ya publicadas que conviene re-tomar</t>
  </si>
  <si>
    <t xml:space="preserve">3 Fotos del sitio</t>
  </si>
  <si>
    <t xml:space="preserve">Planta, marcas y fachada</t>
  </si>
  <si>
    <t xml:space="preserve">4 Logos y marca</t>
  </si>
  <si>
    <t xml:space="preserve">Logos vectoriales, iconos y colores oficiales</t>
  </si>
  <si>
    <t xml:space="preserve">5 Datos del cliente</t>
  </si>
  <si>
    <t xml:space="preserve">Información que solo el cliente puede dar</t>
  </si>
  <si>
    <t xml:space="preserve">6 Odoo (catálogo)</t>
  </si>
  <si>
    <t xml:space="preserve">Correcciones de SKU y datos en Odoo</t>
  </si>
  <si>
    <t xml:space="preserve">7 Técnico y Google</t>
  </si>
  <si>
    <t xml:space="preserve">Search Console, Analytics, Maps, despliegue</t>
  </si>
  <si>
    <t xml:space="preserve">Total</t>
  </si>
  <si>
    <t xml:space="preserve">Cómo usar este libro</t>
  </si>
  <si>
    <t xml:space="preserve">1. Cada hoja es una lista de trabajo. Cambia la columna «Estado» con el menú desplegable (Pendiente, En curso, Entregado, No aplica): esta hoja se actualiza sola.</t>
  </si>
  <si>
    <t xml:space="preserve">2. Las columnas «Notas» y «Respuesta del cliente» son para escribir libremente. No hace falta tocar las demás.</t>
  </si>
  <si>
    <t xml:space="preserve">3. Las medidas de las fotos son recomendaciones para que todo el catálogo se vea uniforme. Están resumidas en la hoja «Especificaciones».</t>
  </si>
  <si>
    <t xml:space="preserve">4. Prioridad «Alta» = afecta al SEO, a la confianza del sitio o bloquea otra tarea. La hoja 1 sombrea las 55 fichas que hoy están en noindex.</t>
  </si>
  <si>
    <t xml:space="preserve">5. Las cantidades (135 fotos, 55 fichas, 258 URLs) salen de content/products.json y del sitemap publicado al 26 de octubre de 2026.</t>
  </si>
  <si>
    <t xml:space="preserve">Especificaciones de entrega de imágenes</t>
  </si>
  <si>
    <t xml:space="preserve">FOTO DE PRODUCTO</t>
  </si>
  <si>
    <t xml:space="preserve">Medida</t>
  </si>
  <si>
    <t xml:space="preserve">1200 × 1200 px (1:1). Mínimo aceptable: 900 × 900 px. No entregar menos.</t>
  </si>
  <si>
    <t xml:space="preserve">Fondo</t>
  </si>
  <si>
    <t xml:space="preserve">Blanco puro (#FFFFFF), liso, sin degradados ni textura. Sin horizonte visible.</t>
  </si>
  <si>
    <t xml:space="preserve">Encuadre</t>
  </si>
  <si>
    <t xml:space="preserve">Producto de frente, centrado, ocupando ~80 % del cuadro (10 % de margen en cada lado). Cámara a la altura del producto, sin inclinación.</t>
  </si>
  <si>
    <t xml:space="preserve">Luz</t>
  </si>
  <si>
    <t xml:space="preserve">Difusa y pareja (luz de ventana o dos luces suaves). Sin flash directo, sin sombras duras ni reflejos que tapen el texto.</t>
  </si>
  <si>
    <t xml:space="preserve">Formato y peso</t>
  </si>
  <si>
    <t xml:space="preserve">WebP, o JPG/PNG (nosotros convertimos). Calidad 80-85, ≤ 250 KB por foto. Espacio de color sRGB.</t>
  </si>
  <si>
    <t xml:space="preserve">Nombre del archivo</t>
  </si>
  <si>
    <t xml:space="preserve">odoo-&lt;id&gt;.webp (ejemplo: odoo-3829.webp). Segunda foto: odoo-3829-2.webp. Tomar el id de la columna «Odoo ID» de la hoja 1.</t>
  </si>
  <si>
    <t xml:space="preserve">Retoque</t>
  </si>
  <si>
    <t xml:space="preserve">Solo ajuste de brillo y recorte. Sin retoque con IA ni limpieza que altere rótulos, marcas o texto del empaque.</t>
  </si>
  <si>
    <t xml:space="preserve">Empaque</t>
  </si>
  <si>
    <t xml:space="preserve">El texto del empaque (marca, presentación, capas) debe poder leerse al 100 %. Si el empaque lleva la marca de un cliente, ver la columna «¿Marca de un cliente en el empaque?».</t>
  </si>
  <si>
    <t xml:space="preserve">FOTO DEL SITIO</t>
  </si>
  <si>
    <t xml:space="preserve">Horizontal, mínimo 2400 px de ancho: 16:9 = 2400 × 1350; 4:3 = 2400 × 1800; 3:2 = 2400 × 1600; 16:10 = 3000 × 1875.</t>
  </si>
  <si>
    <t xml:space="preserve">Formato</t>
  </si>
  <si>
    <t xml:space="preserve">Original de la cámara o JPG calidad 90. No enviar capturas de WhatsApp ni imágenes comprimidas (WhatsApp baja la calidad). Mejor por correo, Drive o USB.</t>
  </si>
  <si>
    <t xml:space="preserve">Celular</t>
  </si>
  <si>
    <t xml:space="preserve">Cámara principal (no frontal), modo foto normal, sin modo retrato ni filtros, sin zoom digital, en horizontal.</t>
  </si>
  <si>
    <t xml:space="preserve">Ninguno. Sin IA, sin filtros.</t>
  </si>
  <si>
    <t xml:space="preserve">Personas</t>
  </si>
  <si>
    <t xml:space="preserve">Si salen personas reconocibles, autorización escrita de cada una.</t>
  </si>
  <si>
    <t xml:space="preserve">LOGOS</t>
  </si>
  <si>
    <t xml:space="preserve">SVG, AI o PDF vectorial. Si no existe, PNG transparente de al menos 2000 px de ancho.</t>
  </si>
  <si>
    <t xml:space="preserve">ENTREGA</t>
  </si>
  <si>
    <t xml:space="preserve">Cómo</t>
  </si>
  <si>
    <t xml:space="preserve">Una carpeta por hoja (productos, sitio, logos). Nombre de archivo según cada hoja. Avisar con la lista de ids entregados.</t>
  </si>
  <si>
    <t xml:space="preserve">Después</t>
  </si>
  <si>
    <t xml:space="preserve">Claude convierte, optimiza, ejecuta content:curate, verifica y despliega. Cada foto nueva de producto libera su ficha para indexación.</t>
  </si>
  <si>
    <t xml:space="preserve">1. Fotos de producto que faltan (135 referencias)</t>
  </si>
  <si>
    <t xml:space="preserve">Una foto principal por fila. Se guarda como public/images/products/odoo-&lt;id&gt;.webp (2.ª foto: odoo-&lt;id&gt;-2.webp). Las filas sombreadas (prioridad 1) son las 55 fichas que hoy llevan noindex: con foto pasan a indexarse. Las medidas son recomendación nuestra para que todas se vean iguales en el catálogo.</t>
  </si>
  <si>
    <t xml:space="preserve">Prioridad</t>
  </si>
  <si>
    <t xml:space="preserve">Odoo ID</t>
  </si>
  <si>
    <t xml:space="preserve">SKU</t>
  </si>
  <si>
    <t xml:space="preserve">Categoría</t>
  </si>
  <si>
    <t xml:space="preserve">Subcategoría</t>
  </si>
  <si>
    <t xml:space="preserve">Producto</t>
  </si>
  <si>
    <t xml:space="preserve">Presentación</t>
  </si>
  <si>
    <t xml:space="preserve">Nombre de archivo</t>
  </si>
  <si>
    <t xml:space="preserve">Foto principal: qué mostrar</t>
  </si>
  <si>
    <t xml:space="preserve">Foto 2 (opcional)</t>
  </si>
  <si>
    <t xml:space="preserve">Medidas y formato</t>
  </si>
  <si>
    <t xml:space="preserve">¿Marca de un cliente en el empaque?</t>
  </si>
  <si>
    <t xml:space="preserve">Estado</t>
  </si>
  <si>
    <t xml:space="preserve">Fecha de entrega</t>
  </si>
  <si>
    <t xml:space="preserve">Notas</t>
  </si>
  <si>
    <t xml:space="preserve">1 - Alta (hoy noindex)</t>
  </si>
  <si>
    <t xml:space="preserve">0126-HIG-07</t>
  </si>
  <si>
    <t xml:space="preserve">Papel higiénico</t>
  </si>
  <si>
    <t xml:space="preserve">Higiénico</t>
  </si>
  <si>
    <t xml:space="preserve">Higiénico 12/1, XL, Mopc</t>
  </si>
  <si>
    <t xml:space="preserve">12/1</t>
  </si>
  <si>
    <t xml:space="preserve">odoo-3668.webp</t>
  </si>
  <si>
    <t xml:space="preserve">Paquete o fardo cerrado, de frente, con el empaque real y el texto legible (presentación 12/1, capas, marca). Al lado, 1 rollo fuera del empaque para ver diámetro y capas.</t>
  </si>
  <si>
    <t xml:space="preserve">Opcional: vista de lado o trasera con la información de la etiqueta (presentación, código de barras) legible.</t>
  </si>
  <si>
    <t xml:space="preserve">1200 × 1200 px (1:1), mínimo 900 × 900. Fondo blanco puro. Producto ocupa ~80 % del cuadro. WebP o JPG, ≤ 250 KB.</t>
  </si>
  <si>
    <t xml:space="preserve">No detectada</t>
  </si>
  <si>
    <t xml:space="preserve">Pendiente</t>
  </si>
  <si>
    <t xml:space="preserve">0270-HIG-20</t>
  </si>
  <si>
    <t xml:space="preserve">Higiénico 48/1 Sin Envoltura S.D</t>
  </si>
  <si>
    <t xml:space="preserve">48/1</t>
  </si>
  <si>
    <t xml:space="preserve">odoo-4305.webp</t>
  </si>
  <si>
    <t xml:space="preserve">Paquete o fardo cerrado, de frente, con el empaque real y el texto legible (presentación 48/1, capas, marca). Al lado, 1 rollo fuera del empaque para ver diámetro y capas.</t>
  </si>
  <si>
    <t xml:space="preserve">0136-HIG-17</t>
  </si>
  <si>
    <t xml:space="preserve">Higiénico 48/1, M, Individual Ocean Breeze</t>
  </si>
  <si>
    <t xml:space="preserve">odoo-3678.webp</t>
  </si>
  <si>
    <t xml:space="preserve">0333-HIG-17</t>
  </si>
  <si>
    <t xml:space="preserve">Higiénico 48/1, sin envoltura 5 pulgoso, 105 gr</t>
  </si>
  <si>
    <t xml:space="preserve">odoo-4237.webp</t>
  </si>
  <si>
    <t xml:space="preserve">0007-HIG-03</t>
  </si>
  <si>
    <t xml:space="preserve">Jumbo</t>
  </si>
  <si>
    <t xml:space="preserve">Higiénico Jumbo 12/1, Especial</t>
  </si>
  <si>
    <t xml:space="preserve">odoo-3549.webp</t>
  </si>
  <si>
    <t xml:space="preserve">Rollo jumbo (bobina grande) de frente y de perfil, con la cinta o etiqueta legible; incluir el empaque si lo tiene.</t>
  </si>
  <si>
    <t xml:space="preserve">0460-PAP-27</t>
  </si>
  <si>
    <t xml:space="preserve">Papel Higiénico 12/1 Bionatural</t>
  </si>
  <si>
    <t xml:space="preserve">odoo-4012.webp</t>
  </si>
  <si>
    <t xml:space="preserve">0316-PAP-09</t>
  </si>
  <si>
    <t xml:space="preserve">Papel Higiénico 12/1 M Ocean Breeze</t>
  </si>
  <si>
    <t xml:space="preserve">odoo-3861.webp</t>
  </si>
  <si>
    <t xml:space="preserve">0321-PAP-11</t>
  </si>
  <si>
    <t xml:space="preserve">Papel Higiénico 48/1 M Individual Ocean Breeze</t>
  </si>
  <si>
    <t xml:space="preserve">odoo-3866.webp</t>
  </si>
  <si>
    <t xml:space="preserve">0397-PAP-24</t>
  </si>
  <si>
    <t xml:space="preserve">Papel Higiénico 6/1 9 Lbs</t>
  </si>
  <si>
    <t xml:space="preserve">6/1</t>
  </si>
  <si>
    <t xml:space="preserve">odoo-3942.webp</t>
  </si>
  <si>
    <t xml:space="preserve">Paquete o fardo cerrado, de frente, con el empaque real y el texto legible (presentación 6/1, capas, marca). Al lado, 1 rollo fuera del empaque para ver diámetro y capas.</t>
  </si>
  <si>
    <t xml:space="preserve">0393-PAP-23</t>
  </si>
  <si>
    <t xml:space="preserve">Papel Higiénico Jumbo 16 Libras 12/1 Caja</t>
  </si>
  <si>
    <t xml:space="preserve">odoo-3938.webp</t>
  </si>
  <si>
    <t xml:space="preserve">0166-PAP-02</t>
  </si>
  <si>
    <t xml:space="preserve">Papel Higiénico Xtra 30/1</t>
  </si>
  <si>
    <t xml:space="preserve">30/1</t>
  </si>
  <si>
    <t xml:space="preserve">odoo-3708.webp</t>
  </si>
  <si>
    <t xml:space="preserve">Paquete o fardo cerrado, de frente, con el empaque real y el texto legible (presentación 30/1, capas, marca). Al lado, 1 rollo fuera del empaque para ver diámetro y capas.</t>
  </si>
  <si>
    <t xml:space="preserve">SÍ: el nombre original traía una marca de cliente; fotografiar sin la marca visible o con su autorización</t>
  </si>
  <si>
    <t xml:space="preserve">0889-TOA-33</t>
  </si>
  <si>
    <t xml:space="preserve">Toallas de papel</t>
  </si>
  <si>
    <t xml:space="preserve">Toalla Cocina 2/1 Precortada Cja 9/2 (18)</t>
  </si>
  <si>
    <t xml:space="preserve">2/1</t>
  </si>
  <si>
    <t xml:space="preserve">odoo-4214.webp</t>
  </si>
  <si>
    <t xml:space="preserve">Paquete o caja cerrada de frente con el empaque real legible (presentación 2/1). Al lado, 1 rollo de toalla fuera del empaque.</t>
  </si>
  <si>
    <t xml:space="preserve">0251-TOA-28</t>
  </si>
  <si>
    <t xml:space="preserve">Toalla Económica 6/1</t>
  </si>
  <si>
    <t xml:space="preserve">odoo-3796.webp</t>
  </si>
  <si>
    <t xml:space="preserve">Paquete o caja cerrada de frente con el empaque real legible (presentación 6/1). Al lado, 1 rollo de toalla fuera del empaque.</t>
  </si>
  <si>
    <t xml:space="preserve">0265-TOA-36</t>
  </si>
  <si>
    <t xml:space="preserve">Toalla Económica Xtra 6/1</t>
  </si>
  <si>
    <t xml:space="preserve">odoo-4266.webp</t>
  </si>
  <si>
    <t xml:space="preserve">Toalla Especial 6/1 830 Grs</t>
  </si>
  <si>
    <t xml:space="preserve">odoo-4094.webp</t>
  </si>
  <si>
    <t xml:space="preserve">0228-TOA-17</t>
  </si>
  <si>
    <t xml:space="preserve">Toalla</t>
  </si>
  <si>
    <t xml:space="preserve">Toalla TAD 13 Libras 6/1 con</t>
  </si>
  <si>
    <t xml:space="preserve">odoo-3770.webp</t>
  </si>
  <si>
    <t xml:space="preserve">0229-TOA-18</t>
  </si>
  <si>
    <t xml:space="preserve">Toalla TAD 6/1 Pro</t>
  </si>
  <si>
    <t xml:space="preserve">odoo-3771.webp</t>
  </si>
  <si>
    <t xml:space="preserve">0889-TOA-34</t>
  </si>
  <si>
    <t xml:space="preserve">Toalla TAD Caja 12/1</t>
  </si>
  <si>
    <t xml:space="preserve">odoo-4219.webp</t>
  </si>
  <si>
    <t xml:space="preserve">Paquete o caja cerrada de frente con el empaque real legible (presentación 12/1). Al lado, 1 rollo de toalla fuera del empaque.</t>
  </si>
  <si>
    <t xml:space="preserve">0356-TOA-38</t>
  </si>
  <si>
    <t xml:space="preserve">Toalla TAD Económica 6/1</t>
  </si>
  <si>
    <t xml:space="preserve">odoo-3901.webp</t>
  </si>
  <si>
    <t xml:space="preserve">0231-TOA-20</t>
  </si>
  <si>
    <t xml:space="preserve">Toalla TAD Smc 6/1</t>
  </si>
  <si>
    <t xml:space="preserve">odoo-3773.webp</t>
  </si>
  <si>
    <t xml:space="preserve">Toallacocina Individual Precortada</t>
  </si>
  <si>
    <t xml:space="preserve">odoo-4158.webp</t>
  </si>
  <si>
    <t xml:space="preserve">Paquete o caja cerrada de frente con el empaque real legible (la presentación que figure en el empaque). Al lado, 1 rollo de toalla fuera del empaque.</t>
  </si>
  <si>
    <t xml:space="preserve">0232-TOA-21</t>
  </si>
  <si>
    <t xml:space="preserve">Toallas 6/1 2/1 Ocean Breeze</t>
  </si>
  <si>
    <t xml:space="preserve">odoo-3774.webp</t>
  </si>
  <si>
    <t xml:space="preserve">0235-TOA-24</t>
  </si>
  <si>
    <t xml:space="preserve">Toallas Cocina 12/3 Ocean Breeze</t>
  </si>
  <si>
    <t xml:space="preserve">12/3</t>
  </si>
  <si>
    <t xml:space="preserve">odoo-3777.webp</t>
  </si>
  <si>
    <t xml:space="preserve">Paquete o caja cerrada de frente con el empaque real legible (presentación 12/3). Al lado, 1 rollo de toalla fuera del empaque.</t>
  </si>
  <si>
    <t xml:space="preserve">0236-TOA-25</t>
  </si>
  <si>
    <t xml:space="preserve">Toallas Eco 6/1 Xtra</t>
  </si>
  <si>
    <t xml:space="preserve">odoo-3778.webp</t>
  </si>
  <si>
    <t xml:space="preserve">0269-DIN-01</t>
  </si>
  <si>
    <t xml:space="preserve">Servilletas</t>
  </si>
  <si>
    <t xml:space="preserve">Dinner 12/100 doblez 1/4</t>
  </si>
  <si>
    <t xml:space="preserve">12/100</t>
  </si>
  <si>
    <t xml:space="preserve">odoo-4277.webp</t>
  </si>
  <si>
    <t xml:space="preserve">Paquete cerrado de frente con el empaque real legible (presentación 12/100). Al lado, 1 servilleta doblada como se usa.</t>
  </si>
  <si>
    <t xml:space="preserve">0889-DIS-06</t>
  </si>
  <si>
    <t xml:space="preserve">Dispenser Comprimidas 25 de 185 fardo</t>
  </si>
  <si>
    <t xml:space="preserve">odoo-4213.webp</t>
  </si>
  <si>
    <t xml:space="preserve">Paquete de servilletas para dispensador, cerrado y de frente, con empaque legible (la presentación que figure en el empaque). Al lado, unas servilletas asomando.</t>
  </si>
  <si>
    <t xml:space="preserve">0184-SER-10</t>
  </si>
  <si>
    <t xml:space="preserve">Cocktail timbradas</t>
  </si>
  <si>
    <t xml:space="preserve">Servilleta Cocktail 1000/1</t>
  </si>
  <si>
    <t xml:space="preserve">1000/1</t>
  </si>
  <si>
    <t xml:space="preserve">odoo-3726.webp</t>
  </si>
  <si>
    <t xml:space="preserve">Paquete cerrado de frente con el empaque real legible (presentación 1000/1). Al lado, 1 servilleta doblada como se usa.</t>
  </si>
  <si>
    <t xml:space="preserve">0190-SER-16</t>
  </si>
  <si>
    <t xml:space="preserve">Servilletas 60/1</t>
  </si>
  <si>
    <t xml:space="preserve">60/1</t>
  </si>
  <si>
    <t xml:space="preserve">odoo-3732.webp</t>
  </si>
  <si>
    <t xml:space="preserve">Paquete cerrado de frente con el empaque real legible (presentación 60/1). Al lado, 1 servilleta doblada como se usa.</t>
  </si>
  <si>
    <t xml:space="preserve">0205-SER-31</t>
  </si>
  <si>
    <t xml:space="preserve">Dinner timbradas</t>
  </si>
  <si>
    <t xml:space="preserve">Servilletas Dinner</t>
  </si>
  <si>
    <t xml:space="preserve">odoo-3747.webp</t>
  </si>
  <si>
    <t xml:space="preserve">Paquete cerrado de frente con el empaque real legible (la presentación que figure en el empaque). Al lado, 1 servilleta doblada como se usa.</t>
  </si>
  <si>
    <t xml:space="preserve">0272-SER-54</t>
  </si>
  <si>
    <t xml:space="preserve">Servilletas Impresa</t>
  </si>
  <si>
    <t xml:space="preserve">odoo-4311.webp</t>
  </si>
  <si>
    <t xml:space="preserve">0034-CAR-01</t>
  </si>
  <si>
    <t xml:space="preserve">Jabón y limpieza</t>
  </si>
  <si>
    <t xml:space="preserve">Cartucho Jabón Espuma, Caja de 4 UD</t>
  </si>
  <si>
    <t xml:space="preserve">odoo-3576.webp</t>
  </si>
  <si>
    <t xml:space="preserve">Envase (botella, galón o bidón) cerrado, de frente, con la etiqueta completa y legible.</t>
  </si>
  <si>
    <t xml:space="preserve">0438-DES-01</t>
  </si>
  <si>
    <t xml:space="preserve">Desinfectante Lavanda Mibea 4/1</t>
  </si>
  <si>
    <t xml:space="preserve">4/1</t>
  </si>
  <si>
    <t xml:space="preserve">odoo-3990.webp</t>
  </si>
  <si>
    <t xml:space="preserve">0440-DIS-04</t>
  </si>
  <si>
    <t xml:space="preserve">Dispensador Inox Jumbo</t>
  </si>
  <si>
    <t xml:space="preserve">odoo-3992.webp</t>
  </si>
  <si>
    <t xml:space="preserve">0061-DIS-01</t>
  </si>
  <si>
    <t xml:space="preserve">Dispensador de Jabón Cartucho</t>
  </si>
  <si>
    <t xml:space="preserve">odoo-3603.webp</t>
  </si>
  <si>
    <t xml:space="preserve">0062-DIS-02</t>
  </si>
  <si>
    <t xml:space="preserve">Dispensador de Jabón Líquido C/valvula</t>
  </si>
  <si>
    <t xml:space="preserve">odoo-3604.webp</t>
  </si>
  <si>
    <t xml:space="preserve">0439-DIS-03</t>
  </si>
  <si>
    <t xml:space="preserve">Dispensador de Papel Jumbo</t>
  </si>
  <si>
    <t xml:space="preserve">odoo-3991.webp</t>
  </si>
  <si>
    <t xml:space="preserve">0889-DIS-05</t>
  </si>
  <si>
    <t xml:space="preserve">Dispensador de Toalla</t>
  </si>
  <si>
    <t xml:space="preserve">odoo-4144.webp</t>
  </si>
  <si>
    <t xml:space="preserve">0067-ESP-02</t>
  </si>
  <si>
    <t xml:space="preserve">Esponja Doble Uso Durasol</t>
  </si>
  <si>
    <t xml:space="preserve">odoo-3609.webp</t>
  </si>
  <si>
    <t xml:space="preserve">0066-ESP-01</t>
  </si>
  <si>
    <t xml:space="preserve">Esponja de Acero Inoxidable Durasol</t>
  </si>
  <si>
    <t xml:space="preserve">odoo-3608.webp</t>
  </si>
  <si>
    <t xml:space="preserve">0398-FAR-07</t>
  </si>
  <si>
    <t xml:space="preserve">Desechables</t>
  </si>
  <si>
    <t xml:space="preserve">Plastico</t>
  </si>
  <si>
    <t xml:space="preserve">Fardo Funda Jardín</t>
  </si>
  <si>
    <t xml:space="preserve">odoo-3943.webp</t>
  </si>
  <si>
    <t xml:space="preserve">Producto tal como se vende: bolsa o paquete cerrado, de frente, etiqueta legible (la presentación que figure en el empaque). Si hay piezas visibles, mostrar 2 o 3 al lado.</t>
  </si>
  <si>
    <t xml:space="preserve">0889-FUN-51</t>
  </si>
  <si>
    <t xml:space="preserve">Funda MTZ 36 X 52 Hd Lisa 1/100</t>
  </si>
  <si>
    <t xml:space="preserve">1/100</t>
  </si>
  <si>
    <t xml:space="preserve">odoo-4145.webp</t>
  </si>
  <si>
    <t xml:space="preserve">Producto tal como se vende: bolsa o paquete cerrado, de frente, etiqueta legible (presentación 1/100). Si hay piezas visibles, mostrar 2 o 3 al lado.</t>
  </si>
  <si>
    <t xml:space="preserve">0377-PAP-19</t>
  </si>
  <si>
    <t xml:space="preserve">Papel Encerado 16X24 Caja de 1000</t>
  </si>
  <si>
    <t xml:space="preserve">odoo-3922.webp</t>
  </si>
  <si>
    <t xml:space="preserve">0328-PAP-19</t>
  </si>
  <si>
    <t xml:space="preserve">Papel Encerado 70 Pies Caja 24/1</t>
  </si>
  <si>
    <t xml:space="preserve">24/1</t>
  </si>
  <si>
    <t xml:space="preserve">odoo-4230.webp</t>
  </si>
  <si>
    <t xml:space="preserve">Producto tal como se vende: bolsa o paquete cerrado, de frente, etiqueta legible (presentación 24/1). Si hay piezas visibles, mostrar 2 o 3 al lado.</t>
  </si>
  <si>
    <t xml:space="preserve">0889-PAP-23</t>
  </si>
  <si>
    <t xml:space="preserve">Papel Encerado Tipo Periódico 12X12 1000/1</t>
  </si>
  <si>
    <t xml:space="preserve">odoo-4128.webp</t>
  </si>
  <si>
    <t xml:space="preserve">Producto tal como se vende: bolsa o paquete cerrado, de frente, etiqueta legible (presentación 1000/1). Si hay piezas visibles, mostrar 2 o 3 al lado.</t>
  </si>
  <si>
    <t xml:space="preserve">0256-PAP-15</t>
  </si>
  <si>
    <t xml:space="preserve">Papel MG Impresión 12X11 1000/1</t>
  </si>
  <si>
    <t xml:space="preserve">odoo-4251.webp</t>
  </si>
  <si>
    <t xml:space="preserve">(sin SKU)</t>
  </si>
  <si>
    <t xml:space="preserve">Cocktail</t>
  </si>
  <si>
    <t xml:space="preserve">Plegadizas Papel Encerado Bonche (75 Pies X 12 Pulg)</t>
  </si>
  <si>
    <t xml:space="preserve">odoo-4186.webp</t>
  </si>
  <si>
    <t xml:space="preserve">0284-COM-16</t>
  </si>
  <si>
    <t xml:space="preserve">Cubertería</t>
  </si>
  <si>
    <t xml:space="preserve">Combos</t>
  </si>
  <si>
    <t xml:space="preserve">Combo Clear HW 2 PZAS Ten+cuchi</t>
  </si>
  <si>
    <t xml:space="preserve">odoo-3829.webp</t>
  </si>
  <si>
    <t xml:space="preserve">Combo cerrado (bolsa o caja) de frente con la etiqueta legible (la presentación que figure en el empaque) y, al lado en fila, las piezas que contiene según el nombre.</t>
  </si>
  <si>
    <t xml:space="preserve">0395-COM-17</t>
  </si>
  <si>
    <t xml:space="preserve">Combo HW 1 Pieza Impreso 100/1</t>
  </si>
  <si>
    <t xml:space="preserve">100/1</t>
  </si>
  <si>
    <t xml:space="preserve">odoo-3940.webp</t>
  </si>
  <si>
    <t xml:space="preserve">Combo cerrado (bolsa o caja) de frente con la etiqueta legible (presentación 100/1) y, al lado en fila, las piezas que contiene según el nombre.</t>
  </si>
  <si>
    <t xml:space="preserve">0001-COM-01</t>
  </si>
  <si>
    <t xml:space="preserve">Combo HW 2 PZAS Impreso 100/1</t>
  </si>
  <si>
    <t xml:space="preserve">odoo-3543.webp</t>
  </si>
  <si>
    <t xml:space="preserve">0041-COM-03</t>
  </si>
  <si>
    <t xml:space="preserve">Combo HW 2 PZAS Impreso 100/1. Hight. Bolsas Lisas</t>
  </si>
  <si>
    <t xml:space="preserve">odoo-3583.webp</t>
  </si>
  <si>
    <t xml:space="preserve">0889-COM-12</t>
  </si>
  <si>
    <t xml:space="preserve">Combos 2 Piezas Blancos MW 500/1</t>
  </si>
  <si>
    <t xml:space="preserve">500/1</t>
  </si>
  <si>
    <t xml:space="preserve">odoo-4175.webp</t>
  </si>
  <si>
    <t xml:space="preserve">Combo cerrado (bolsa o caja) de frente con la etiqueta legible (presentación 500/1) y, al lado en fila, las piezas que contiene según el nombre.</t>
  </si>
  <si>
    <t xml:space="preserve">0046-COM-08</t>
  </si>
  <si>
    <t xml:space="preserve">Combos en Caja HW 2 Piezas 500/1. Hight. Caja</t>
  </si>
  <si>
    <t xml:space="preserve">odoo-3588.webp</t>
  </si>
  <si>
    <t xml:space="preserve">0274-COM-19</t>
  </si>
  <si>
    <t xml:space="preserve">Combos en Caja HW 3 Piezas 10/25 Hight</t>
  </si>
  <si>
    <t xml:space="preserve">10/25</t>
  </si>
  <si>
    <t xml:space="preserve">odoo-4324.webp</t>
  </si>
  <si>
    <t xml:space="preserve">Combo cerrado (bolsa o caja) de frente con la etiqueta legible (presentación 10/25) y, al lado en fila, las piezas que contiene según el nombre.</t>
  </si>
  <si>
    <t xml:space="preserve">0285-CUC-06</t>
  </si>
  <si>
    <t xml:space="preserve">Cubertería suelta</t>
  </si>
  <si>
    <t xml:space="preserve">Cuchillo Clear 1000/1</t>
  </si>
  <si>
    <t xml:space="preserve">odoo-3830.webp</t>
  </si>
  <si>
    <t xml:space="preserve">Paquete o bolsa cerrada de frente con la etiqueta legible (presentación 1000/1) y 3 piezas sueltas al lado.</t>
  </si>
  <si>
    <t xml:space="preserve">0286-TEN-04</t>
  </si>
  <si>
    <t xml:space="preserve">Tenedor Clear 1000/1</t>
  </si>
  <si>
    <t xml:space="preserve">odoo-3831.webp</t>
  </si>
  <si>
    <t xml:space="preserve">2 - Normal</t>
  </si>
  <si>
    <t xml:space="preserve">0123-HIG-04</t>
  </si>
  <si>
    <t xml:space="preserve">Higiénico 12/1 U.R</t>
  </si>
  <si>
    <t xml:space="preserve">odoo-3665.webp</t>
  </si>
  <si>
    <t xml:space="preserve">Paquete o fardo cerrado, de frente, con el empaque real y el texto legible (presentación 12/1, capas, marca). Al lado, 1 rollo fuera del empaque para ver diámetro y capas. Color del producto: Blanco.</t>
  </si>
  <si>
    <t xml:space="preserve">0127-HIG-08</t>
  </si>
  <si>
    <t xml:space="preserve">Higiénico 12/4, 48/1, 200 Hojas, Bio, 2 Capas</t>
  </si>
  <si>
    <t xml:space="preserve">12/4</t>
  </si>
  <si>
    <t xml:space="preserve">odoo-3669.webp</t>
  </si>
  <si>
    <t xml:space="preserve">Paquete o fardo cerrado, de frente, con el empaque real y el texto legible (presentación 12/4, capas, marca). Al lado, 1 rollo fuera del empaque para ver diámetro y capas.</t>
  </si>
  <si>
    <t xml:space="preserve">0267-HIG-18</t>
  </si>
  <si>
    <t xml:space="preserve">Higiénico 24/1, 350 hojas, liso, 2 capas</t>
  </si>
  <si>
    <t xml:space="preserve">odoo-4273.webp</t>
  </si>
  <si>
    <t xml:space="preserve">Paquete o fardo cerrado, de frente, con el empaque real y el texto legible (presentación 24/1, capas, marca). Al lado, 1 rollo fuera del empaque para ver diámetro y capas.</t>
  </si>
  <si>
    <t xml:space="preserve">0129-HIG-10</t>
  </si>
  <si>
    <t xml:space="preserve">Higiénico 24/1, M, Ocean Breeze, 2 Capas</t>
  </si>
  <si>
    <t xml:space="preserve">odoo-3671.webp</t>
  </si>
  <si>
    <t xml:space="preserve">0274-HIG-19</t>
  </si>
  <si>
    <t xml:space="preserve">Higiénico 30/1 Económico SD</t>
  </si>
  <si>
    <t xml:space="preserve">odoo-4304.webp</t>
  </si>
  <si>
    <t xml:space="preserve">0006-HIG-02</t>
  </si>
  <si>
    <t xml:space="preserve">Higiénico 30/1 Económico, 2 Capas</t>
  </si>
  <si>
    <t xml:space="preserve">odoo-3548.webp</t>
  </si>
  <si>
    <t xml:space="preserve">0130-HIG-11</t>
  </si>
  <si>
    <t xml:space="preserve">Higiénico 30/1, Rosado, Genérico</t>
  </si>
  <si>
    <t xml:space="preserve">odoo-3672.webp</t>
  </si>
  <si>
    <t xml:space="preserve">Paquete o fardo cerrado, de frente, con el empaque real y el texto legible (presentación 30/1, capas, marca). Al lado, 1 rollo fuera del empaque para ver diámetro y capas. Color del producto: Rosado.</t>
  </si>
  <si>
    <t xml:space="preserve">0273-HIG-22</t>
  </si>
  <si>
    <t xml:space="preserve">Higiénico 48/1, 35MTS, 2 Capa Envuelto Individual S.D</t>
  </si>
  <si>
    <t xml:space="preserve">odoo-4312.webp</t>
  </si>
  <si>
    <t xml:space="preserve">0272-HIG-21</t>
  </si>
  <si>
    <t xml:space="preserve">Higiénico 48/1, 35MTS, S.D 2 Capas</t>
  </si>
  <si>
    <t xml:space="preserve">odoo-4307.webp</t>
  </si>
  <si>
    <t xml:space="preserve">0133-HIG-14</t>
  </si>
  <si>
    <t xml:space="preserve">Higiénico 48/1, 60-65 Gr, 20MTS</t>
  </si>
  <si>
    <t xml:space="preserve">odoo-3675.webp</t>
  </si>
  <si>
    <t xml:space="preserve">0134-HIG-15</t>
  </si>
  <si>
    <t xml:space="preserve">Higiénico 48/1, Envueltos, 35MTS, Ocean Breeze 2 Capas</t>
  </si>
  <si>
    <t xml:space="preserve">odoo-3676.webp</t>
  </si>
  <si>
    <t xml:space="preserve">0287-HIG-26</t>
  </si>
  <si>
    <t xml:space="preserve">Higiénico Jumbo 12 Libras 12/1. 2 Capas</t>
  </si>
  <si>
    <t xml:space="preserve">odoo-3832.webp</t>
  </si>
  <si>
    <t xml:space="preserve">0138-HIG-19</t>
  </si>
  <si>
    <t xml:space="preserve">Higiénico Jumbo 14 Libras. 3.25. 2 Capas</t>
  </si>
  <si>
    <t xml:space="preserve">odoo-3680.webp</t>
  </si>
  <si>
    <t xml:space="preserve">0140-HIG-21</t>
  </si>
  <si>
    <t xml:space="preserve">Higiénico Jumbo 6/1 Kraft, 2 Capas</t>
  </si>
  <si>
    <t xml:space="preserve">odoo-3682.webp</t>
  </si>
  <si>
    <t xml:space="preserve">Rollo jumbo (bobina grande) de frente y de perfil, con la cinta o etiqueta legible; incluir el empaque si lo tiene. Color del producto: Kraft.</t>
  </si>
  <si>
    <t xml:space="preserve">0141-HIG-22</t>
  </si>
  <si>
    <t xml:space="preserve">Higiénico Jumbo Center Pull Super 12/1. 2 Capas</t>
  </si>
  <si>
    <t xml:space="preserve">odoo-3683.webp</t>
  </si>
  <si>
    <t xml:space="preserve">0142-HIG-23</t>
  </si>
  <si>
    <t xml:space="preserve">Higiénico Normal. 45Mt. Envuelto. Fardo de 48</t>
  </si>
  <si>
    <t xml:space="preserve">odoo-3684.webp</t>
  </si>
  <si>
    <t xml:space="preserve">Paquete o fardo cerrado, de frente, con el empaque real y el texto legible (la presentación que figure en el empaque, capas, marca). Al lado, 1 rollo fuera del empaque para ver diámetro y capas.</t>
  </si>
  <si>
    <t xml:space="preserve">0147-JUM-03</t>
  </si>
  <si>
    <t xml:space="preserve">Jumbo 12/1, Xtra, 2 Capas</t>
  </si>
  <si>
    <t xml:space="preserve">odoo-3689.webp</t>
  </si>
  <si>
    <t xml:space="preserve">0451-JUM-10</t>
  </si>
  <si>
    <t xml:space="preserve">Jumbo 1200 Pies 1 PLY</t>
  </si>
  <si>
    <t xml:space="preserve">odoo-4003.webp</t>
  </si>
  <si>
    <t xml:space="preserve">0152-JUM-08</t>
  </si>
  <si>
    <t xml:space="preserve">Jumbo AG 6/1, Lc, 2 Capas</t>
  </si>
  <si>
    <t xml:space="preserve">odoo-3694.webp</t>
  </si>
  <si>
    <t xml:space="preserve">0889-JUM-06</t>
  </si>
  <si>
    <t xml:space="preserve">Jumbos Mini 6/1 312 Pies</t>
  </si>
  <si>
    <t xml:space="preserve">odoo-4161.webp</t>
  </si>
  <si>
    <t xml:space="preserve">0889-PAP-29</t>
  </si>
  <si>
    <t xml:space="preserve">Papel Higiénico 30 Mts Individual Ocean Breeze</t>
  </si>
  <si>
    <t xml:space="preserve">odoo-4030.webp</t>
  </si>
  <si>
    <t xml:space="preserve">0889-[08-02</t>
  </si>
  <si>
    <t xml:space="preserve">Papel Higiénico 60 Mts Individual Ocean Breeze</t>
  </si>
  <si>
    <t xml:space="preserve">odoo-4125.webp</t>
  </si>
  <si>
    <t xml:space="preserve">0271-PAP-07</t>
  </si>
  <si>
    <t xml:space="preserve">Papel Higiénico Jumbo 1000 Pies 12/1 Caja</t>
  </si>
  <si>
    <t xml:space="preserve">odoo-3816.webp</t>
  </si>
  <si>
    <t xml:space="preserve">0243-PAP-05</t>
  </si>
  <si>
    <t xml:space="preserve">Papel Higiénico Jumbo 16 Lbs 800 Pies 12/1</t>
  </si>
  <si>
    <t xml:space="preserve">odoo-3785.webp</t>
  </si>
  <si>
    <t xml:space="preserve">0217-TOA-06</t>
  </si>
  <si>
    <t xml:space="preserve">Toalla 6/1 TAD 500 Pies</t>
  </si>
  <si>
    <t xml:space="preserve">odoo-3759.webp</t>
  </si>
  <si>
    <t xml:space="preserve">Paquete o caja cerrada de frente con el empaque real legible (presentación 6/1). Al lado, 1 rollo de toalla fuera del empaque. Color del producto: Blanco.</t>
  </si>
  <si>
    <t xml:space="preserve">0012-TOA-01</t>
  </si>
  <si>
    <t xml:space="preserve">Toalla 6/1 TAD 600 Pies</t>
  </si>
  <si>
    <t xml:space="preserve">odoo-3554.webp</t>
  </si>
  <si>
    <t xml:space="preserve">0278-TOA-37</t>
  </si>
  <si>
    <t xml:space="preserve">Toalla Blanca, 600 pies, 6 rollos/fdo</t>
  </si>
  <si>
    <t xml:space="preserve">odoo-4328.webp</t>
  </si>
  <si>
    <t xml:space="preserve">Paquete o caja cerrada de frente con el empaque real legible (la presentación que figure en el empaque). Al lado, 1 rollo de toalla fuera del empaque. Color del producto: Blanco.</t>
  </si>
  <si>
    <t xml:space="preserve">0270-TOA-36</t>
  </si>
  <si>
    <t xml:space="preserve">Toalla Blanca, 700 pies, 6 rollos/fdo</t>
  </si>
  <si>
    <t xml:space="preserve">odoo-4319.webp</t>
  </si>
  <si>
    <t xml:space="preserve">0257-TOA-29</t>
  </si>
  <si>
    <t xml:space="preserve">Toalla Bleach 6/1 800 Pies 1500 Grs</t>
  </si>
  <si>
    <t xml:space="preserve">odoo-3802.webp</t>
  </si>
  <si>
    <t xml:space="preserve">0220-TOA-09</t>
  </si>
  <si>
    <t xml:space="preserve">Toalla Bleach 6/1 900GR</t>
  </si>
  <si>
    <t xml:space="preserve">odoo-3762.webp</t>
  </si>
  <si>
    <t xml:space="preserve">0889-TOA-32</t>
  </si>
  <si>
    <t xml:space="preserve">Toalla Bleach 6/1 920-950 Gr Generico</t>
  </si>
  <si>
    <t xml:space="preserve">odoo-4048.webp</t>
  </si>
  <si>
    <t xml:space="preserve">0359-TOA-39</t>
  </si>
  <si>
    <t xml:space="preserve">Toalla Bleach 700 Pies 6/1</t>
  </si>
  <si>
    <t xml:space="preserve">odoo-3904.webp</t>
  </si>
  <si>
    <t xml:space="preserve">Toalla Bleach 750 Pies Caja 12/1</t>
  </si>
  <si>
    <t xml:space="preserve">odoo-4058.webp</t>
  </si>
  <si>
    <t xml:space="preserve">Paquete o caja cerrada de frente con el empaque real legible (presentación 12/1). Al lado, 1 rollo de toalla fuera del empaque. Color del producto: Blanco.</t>
  </si>
  <si>
    <t xml:space="preserve">0221-TOA-10</t>
  </si>
  <si>
    <t xml:space="preserve">Toalla Center Pull 6/1</t>
  </si>
  <si>
    <t xml:space="preserve">odoo-3763.webp</t>
  </si>
  <si>
    <t xml:space="preserve">Toalla Kraft 22 Lbs 6/1 1578</t>
  </si>
  <si>
    <t xml:space="preserve">odoo-4138.webp</t>
  </si>
  <si>
    <t xml:space="preserve">Paquete o caja cerrada de frente con el empaque real legible (presentación 6/1). Al lado, 1 rollo de toalla fuera del empaque. Color del producto: Kraft.</t>
  </si>
  <si>
    <t xml:space="preserve">0308-TOA-32</t>
  </si>
  <si>
    <t xml:space="preserve">Toalla Kraft 22 Lbs 6/1 1578 Grs</t>
  </si>
  <si>
    <t xml:space="preserve">odoo-3853.webp</t>
  </si>
  <si>
    <t xml:space="preserve">0225-TOA-14</t>
  </si>
  <si>
    <t xml:space="preserve">Toalla Kraft Center Pull 6/1. 7.5". Bolsas Lisas</t>
  </si>
  <si>
    <t xml:space="preserve">odoo-3767.webp</t>
  </si>
  <si>
    <t xml:space="preserve">0226-TOA-15</t>
  </si>
  <si>
    <t xml:space="preserve">Toalla Kraft Eco 6/1</t>
  </si>
  <si>
    <t xml:space="preserve">odoo-3768.webp</t>
  </si>
  <si>
    <t xml:space="preserve">0373-TOA-40</t>
  </si>
  <si>
    <t xml:space="preserve">Toalla Multifold 16/250</t>
  </si>
  <si>
    <t xml:space="preserve">16/250</t>
  </si>
  <si>
    <t xml:space="preserve">odoo-3918.webp</t>
  </si>
  <si>
    <t xml:space="preserve">Paquete o caja cerrada de frente con el empaque real legible (presentación 16/250). Al lado, 1 rollo de toalla fuera del empaque.</t>
  </si>
  <si>
    <t xml:space="preserve">0294-TOA-31</t>
  </si>
  <si>
    <t xml:space="preserve">Toalla Slim 12/1 450 Pies</t>
  </si>
  <si>
    <t xml:space="preserve">odoo-3839.webp</t>
  </si>
  <si>
    <t xml:space="preserve">0333-TOA-36</t>
  </si>
  <si>
    <t xml:space="preserve">Toalla Slim Kraft 12/1</t>
  </si>
  <si>
    <t xml:space="preserve">odoo-3878.webp</t>
  </si>
  <si>
    <t xml:space="preserve">Paquete o caja cerrada de frente con el empaque real legible (presentación 12/1). Al lado, 1 rollo de toalla fuera del empaque. Color del producto: Kraft.</t>
  </si>
  <si>
    <t xml:space="preserve">0409-TOA-43</t>
  </si>
  <si>
    <t xml:space="preserve">Toalla TAD 6/1 580 Pies</t>
  </si>
  <si>
    <t xml:space="preserve">odoo-3954.webp</t>
  </si>
  <si>
    <t xml:space="preserve">0348-TOA-37</t>
  </si>
  <si>
    <t xml:space="preserve">Toalla Tela Cocina 5 UDS 50 Paq</t>
  </si>
  <si>
    <t xml:space="preserve">odoo-3893.webp</t>
  </si>
  <si>
    <t xml:space="preserve">0233-TOA-22</t>
  </si>
  <si>
    <t xml:space="preserve">Toallas Bleach 6/1 800 Pies</t>
  </si>
  <si>
    <t xml:space="preserve">odoo-3775.webp</t>
  </si>
  <si>
    <t xml:space="preserve">0237-TOA-26</t>
  </si>
  <si>
    <t xml:space="preserve">Toallas Kraft 6/1 1250 Gr</t>
  </si>
  <si>
    <t xml:space="preserve">odoo-3779.webp</t>
  </si>
  <si>
    <t xml:space="preserve">0282-COC-03</t>
  </si>
  <si>
    <t xml:space="preserve">Cocktail Kraft 10/100. 1 Capa. Caja</t>
  </si>
  <si>
    <t xml:space="preserve">10/100</t>
  </si>
  <si>
    <t xml:space="preserve">odoo-3827.webp</t>
  </si>
  <si>
    <t xml:space="preserve">Paquete cerrado de frente con el empaque real legible (presentación 10/100). Al lado, 1 servilleta doblada como se usa. Color del producto: Kraft.</t>
  </si>
  <si>
    <t xml:space="preserve">0326-SER-53</t>
  </si>
  <si>
    <t xml:space="preserve">Servilleta Cocktail Azul 8/125 2 PLY Ocean Breeze</t>
  </si>
  <si>
    <t xml:space="preserve">8/125</t>
  </si>
  <si>
    <t xml:space="preserve">odoo-3871.webp</t>
  </si>
  <si>
    <t xml:space="preserve">Paquete cerrado de frente con el empaque real legible (presentación 8/125). Al lado, 1 servilleta doblada como se usa. Color del producto: Azul.</t>
  </si>
  <si>
    <t xml:space="preserve">0889-SER-58</t>
  </si>
  <si>
    <t xml:space="preserve">Servilleta Dinner 20/100, 2 PLY White Ocean Breeze</t>
  </si>
  <si>
    <t xml:space="preserve">20/100</t>
  </si>
  <si>
    <t xml:space="preserve">odoo-4153.webp</t>
  </si>
  <si>
    <t xml:space="preserve">Paquete cerrado de frente con el empaque real legible (presentación 20/100). Al lado, 1 servilleta doblada como se usa. Color del producto: Blanco.</t>
  </si>
  <si>
    <t xml:space="preserve">0301-SER-47</t>
  </si>
  <si>
    <t xml:space="preserve">Servilleta Dinner 20/150 Ocean Breeze</t>
  </si>
  <si>
    <t xml:space="preserve">20/150</t>
  </si>
  <si>
    <t xml:space="preserve">odoo-3846.webp</t>
  </si>
  <si>
    <t xml:space="preserve">Paquete cerrado de frente con el empaque real legible (presentación 20/150). Al lado, 1 servilleta doblada como se usa. Color del producto: Blanco.</t>
  </si>
  <si>
    <t xml:space="preserve">0369-SER-63</t>
  </si>
  <si>
    <t xml:space="preserve">Servilleta Dinner Azul 20150 2 PLY</t>
  </si>
  <si>
    <t xml:space="preserve">odoo-3914.webp</t>
  </si>
  <si>
    <t xml:space="preserve">Paquete cerrado de frente con el empaque real legible (la presentación que figure en el empaque). Al lado, 1 servilleta doblada como se usa. Color del producto: Azul.</t>
  </si>
  <si>
    <t xml:space="preserve">0186-SER-12</t>
  </si>
  <si>
    <t xml:space="preserve">Dinner</t>
  </si>
  <si>
    <t xml:space="preserve">Servilleta Dinner Azul 8/125, 2 PLY</t>
  </si>
  <si>
    <t xml:space="preserve">odoo-3728.webp</t>
  </si>
  <si>
    <t xml:space="preserve">0417-SER-72</t>
  </si>
  <si>
    <t xml:space="preserve">Servilleta Kraft 10/500 Ocean Breeze</t>
  </si>
  <si>
    <t xml:space="preserve">10/500</t>
  </si>
  <si>
    <t xml:space="preserve">odoo-3962.webp</t>
  </si>
  <si>
    <t xml:space="preserve">Paquete cerrado de frente con el empaque real legible (presentación 10/500). Al lado, 1 servilleta doblada como se usa. Color del producto: Kraft.</t>
  </si>
  <si>
    <t xml:space="preserve">0381-SER-65</t>
  </si>
  <si>
    <t xml:space="preserve">Servilleta White 36/300 Tall Fold 8.5X13 Ocean Breeze</t>
  </si>
  <si>
    <t xml:space="preserve">36/300</t>
  </si>
  <si>
    <t xml:space="preserve">odoo-3926.webp</t>
  </si>
  <si>
    <t xml:space="preserve">Paquete cerrado de frente con el empaque real legible (presentación 36/300). Al lado, 1 servilleta doblada como se usa. Color del producto: Blanco.</t>
  </si>
  <si>
    <t xml:space="preserve">0193-SER-19</t>
  </si>
  <si>
    <t xml:space="preserve">Servilletas Cocktail 20/50 Rojas 2 Ply. 2 Capas. Bolsas Lisas</t>
  </si>
  <si>
    <t xml:space="preserve">20/50</t>
  </si>
  <si>
    <t xml:space="preserve">odoo-3735.webp</t>
  </si>
  <si>
    <t xml:space="preserve">Paquete cerrado de frente con el empaque real legible (presentación 20/50). Al lado, 1 servilleta doblada como se usa.</t>
  </si>
  <si>
    <t xml:space="preserve">0366-SER-62</t>
  </si>
  <si>
    <t xml:space="preserve">Servilletas Dinner 12/250 Ocean Breeze 1 PLY</t>
  </si>
  <si>
    <t xml:space="preserve">12/250</t>
  </si>
  <si>
    <t xml:space="preserve">odoo-3911.webp</t>
  </si>
  <si>
    <t xml:space="preserve">Paquete cerrado de frente con el empaque real legible (presentación 12/250). Al lado, 1 servilleta doblada como se usa.</t>
  </si>
  <si>
    <t xml:space="preserve">0207-SER-33</t>
  </si>
  <si>
    <t xml:space="preserve">Dispenser</t>
  </si>
  <si>
    <t xml:space="preserve">Servilletas Elegance 24 Paquetes de 60 UD</t>
  </si>
  <si>
    <t xml:space="preserve">odoo-3749.webp</t>
  </si>
  <si>
    <t xml:space="preserve">0210-SER-36</t>
  </si>
  <si>
    <t xml:space="preserve">Servilletas Lunch 20/50 Salmon 2 PLY</t>
  </si>
  <si>
    <t xml:space="preserve">odoo-3752.webp</t>
  </si>
  <si>
    <t xml:space="preserve">0211-SER-37</t>
  </si>
  <si>
    <t xml:space="preserve">Servilletas Maravilla 10 Paquetes de 400</t>
  </si>
  <si>
    <t xml:space="preserve">odoo-3753.webp</t>
  </si>
  <si>
    <t xml:space="preserve">0214-SER-40</t>
  </si>
  <si>
    <t xml:space="preserve">Servilletas Xtra 10 Paquetes</t>
  </si>
  <si>
    <t xml:space="preserve">odoo-3756.webp</t>
  </si>
  <si>
    <t xml:space="preserve">0889-INT-07</t>
  </si>
  <si>
    <t xml:space="preserve">Interfoliados</t>
  </si>
  <si>
    <t xml:space="preserve">Interfold Mini Napkin 18/125 2 PLY</t>
  </si>
  <si>
    <t xml:space="preserve">18/125</t>
  </si>
  <si>
    <t xml:space="preserve">odoo-4147.webp</t>
  </si>
  <si>
    <t xml:space="preserve">Paquete o caja cerrada de frente (presentación 18/125) y, al lado, unas hojas interfoliadas asomando para mostrar el doblez.</t>
  </si>
  <si>
    <t xml:space="preserve">0146-INT-02</t>
  </si>
  <si>
    <t xml:space="preserve">Facial Interfold</t>
  </si>
  <si>
    <t xml:space="preserve">Interfold Mini Napkin Ocean Breeze 30/200</t>
  </si>
  <si>
    <t xml:space="preserve">30/200</t>
  </si>
  <si>
    <t xml:space="preserve">odoo-3688.webp</t>
  </si>
  <si>
    <t xml:space="preserve">Paquete o caja cerrada de frente (presentación 30/200) y, al lado, unas hojas interfoliadas asomando para mostrar el doblez.</t>
  </si>
  <si>
    <t xml:space="preserve">0031-BRI-01</t>
  </si>
  <si>
    <t xml:space="preserve">Brillo Verde Durasol 2/1 133031</t>
  </si>
  <si>
    <t xml:space="preserve">odoo-3573.webp</t>
  </si>
  <si>
    <t xml:space="preserve">Envase (botella, galón o bidón) cerrado, de frente, con la etiqueta completa y legible. Color del producto: Verde.</t>
  </si>
  <si>
    <t xml:space="preserve">0069-FAR-01</t>
  </si>
  <si>
    <t xml:space="preserve">Fardo Funda 2# Blanca V 10X200</t>
  </si>
  <si>
    <t xml:space="preserve">odoo-3611.webp</t>
  </si>
  <si>
    <t xml:space="preserve">Producto tal como se vende: bolsa o paquete cerrado, de frente, etiqueta legible (la presentación que figure en el empaque). Si hay piezas visibles, mostrar 2 o 3 al lado. Color del producto: Blanco.</t>
  </si>
  <si>
    <t xml:space="preserve">0400-FAR-08</t>
  </si>
  <si>
    <t xml:space="preserve">Fardo Funda Baño Blanca 30 Paq</t>
  </si>
  <si>
    <t xml:space="preserve">odoo-3945.webp</t>
  </si>
  <si>
    <t xml:space="preserve">0072-FAR-04</t>
  </si>
  <si>
    <t xml:space="preserve">Fardo Funda Cocina 30 Paquetes</t>
  </si>
  <si>
    <t xml:space="preserve">odoo-3614.webp</t>
  </si>
  <si>
    <t xml:space="preserve">0074-FAR-06</t>
  </si>
  <si>
    <t xml:space="preserve">Fardo Funda Tanque Negra 30/5</t>
  </si>
  <si>
    <t xml:space="preserve">30/5</t>
  </si>
  <si>
    <t xml:space="preserve">odoo-3616.webp</t>
  </si>
  <si>
    <t xml:space="preserve">Producto tal como se vende: bolsa o paquete cerrado, de frente, etiqueta legible (presentación 30/5). Si hay piezas visibles, mostrar 2 o 3 al lado. Color del producto: Negro.</t>
  </si>
  <si>
    <t xml:space="preserve">0406-FUN-74</t>
  </si>
  <si>
    <t xml:space="preserve">Funda 13 GLS Cocina 24X30 Negra</t>
  </si>
  <si>
    <t xml:space="preserve">odoo-3951.webp</t>
  </si>
  <si>
    <t xml:space="preserve">Producto tal como se vende: bolsa o paquete cerrado, de frente, etiqueta legible (la presentación que figure en el empaque). Si hay piezas visibles, mostrar 2 o 3 al lado. Color del producto: Negro.</t>
  </si>
  <si>
    <t xml:space="preserve">Funda 4 GLN 18X22 Blanca</t>
  </si>
  <si>
    <t xml:space="preserve">odoo-3628.webp</t>
  </si>
  <si>
    <t xml:space="preserve">0889-COM-11</t>
  </si>
  <si>
    <t xml:space="preserve">Combos 1 Pieza Blanco MW 500UDS</t>
  </si>
  <si>
    <t xml:space="preserve">odoo-4142.webp</t>
  </si>
  <si>
    <t xml:space="preserve">Combo cerrado (bolsa o caja) de frente con la etiqueta legible (la presentación que figure en el empaque) y, al lado en fila, las piezas que contiene según el nombre. Color del producto: Blanco.</t>
  </si>
  <si>
    <t xml:space="preserve">0269-COM-14</t>
  </si>
  <si>
    <t xml:space="preserve">Combos 1 Piezas Negro HW 500 UDS</t>
  </si>
  <si>
    <t xml:space="preserve">odoo-3814.webp</t>
  </si>
  <si>
    <t xml:space="preserve">Combo cerrado (bolsa o caja) de frente con la etiqueta legible (la presentación que figure en el empaque) y, al lado en fila, las piezas que contiene según el nombre. Color del producto: Negro.</t>
  </si>
  <si>
    <t xml:space="preserve">0260-CUC-02</t>
  </si>
  <si>
    <t xml:space="preserve">Cuchara Blanca MW 1000/1</t>
  </si>
  <si>
    <t xml:space="preserve">odoo-3805.webp</t>
  </si>
  <si>
    <t xml:space="preserve">Paquete o bolsa cerrada de frente con la etiqueta legible (presentación 1000/1) y 3 piezas sueltas al lado. Color del producto: Blanco.</t>
  </si>
  <si>
    <t xml:space="preserve">0270-CUC-04</t>
  </si>
  <si>
    <t xml:space="preserve">Cuchara Negra HW 1000/1</t>
  </si>
  <si>
    <t xml:space="preserve">odoo-3815.webp</t>
  </si>
  <si>
    <t xml:space="preserve">Paquete o bolsa cerrada de frente con la etiqueta legible (presentación 1000/1) y 3 piezas sueltas al lado. Color del producto: Negro.</t>
  </si>
  <si>
    <t xml:space="preserve">Cucharas Blanca MW 40/25</t>
  </si>
  <si>
    <t xml:space="preserve">40/25</t>
  </si>
  <si>
    <t xml:space="preserve">odoo-4107.webp</t>
  </si>
  <si>
    <t xml:space="preserve">Paquete o bolsa cerrada de frente con la etiqueta legible (presentación 40/25) y 3 piezas sueltas al lado. Color del producto: Blanco.</t>
  </si>
  <si>
    <t xml:space="preserve">0262-CUC-03</t>
  </si>
  <si>
    <t xml:space="preserve">Cuchillo Blanco MW 1000/1</t>
  </si>
  <si>
    <t xml:space="preserve">odoo-3807.webp</t>
  </si>
  <si>
    <t xml:space="preserve">0246-CUC-01</t>
  </si>
  <si>
    <t xml:space="preserve">Cuchillo Negro HW 1000/1</t>
  </si>
  <si>
    <t xml:space="preserve">odoo-3791.webp</t>
  </si>
  <si>
    <t xml:space="preserve">0274-CUC-05</t>
  </si>
  <si>
    <t xml:space="preserve">Cuchillo Negro MW 1000/1</t>
  </si>
  <si>
    <t xml:space="preserve">odoo-3819.webp</t>
  </si>
  <si>
    <t xml:space="preserve">0261-TEN-02</t>
  </si>
  <si>
    <t xml:space="preserve">Tenedor Blanco MW 1000/1</t>
  </si>
  <si>
    <t xml:space="preserve">odoo-3806.webp</t>
  </si>
  <si>
    <t xml:space="preserve">Tenedor MW Blanco 40/25</t>
  </si>
  <si>
    <t xml:space="preserve">odoo-4108.webp</t>
  </si>
  <si>
    <t xml:space="preserve">0247-TEN-01</t>
  </si>
  <si>
    <t xml:space="preserve">Tenedor Negro HW 1000/1</t>
  </si>
  <si>
    <t xml:space="preserve">odoo-3792.webp</t>
  </si>
  <si>
    <t xml:space="preserve">0275-TEN-03</t>
  </si>
  <si>
    <t xml:space="preserve">Tenedor Negro MW 1000/1</t>
  </si>
  <si>
    <t xml:space="preserve">odoo-3820.webp</t>
  </si>
  <si>
    <t xml:space="preserve">2. Fotos de producto que ya están en el sitio (33 referencias)</t>
  </si>
  <si>
    <t xml:space="preserve">Revisión automática por tamaño y proporción. No se juzga el contenido de la foto: si alguna tiene rótulos deformados o retoque que altere el empaque, conviene re-tomarla aunque aparezca OK.</t>
  </si>
  <si>
    <t xml:space="preserve">Archivo actual</t>
  </si>
  <si>
    <t xml:space="preserve">Tamaño actual (px)</t>
  </si>
  <si>
    <t xml:space="preserve">Observación</t>
  </si>
  <si>
    <t xml:space="preserve">Acción</t>
  </si>
  <si>
    <t xml:space="preserve">SER-01</t>
  </si>
  <si>
    <t xml:space="preserve">Servilletas Dispenser Bonche 10 Paquetes</t>
  </si>
  <si>
    <t xml:space="preserve">odoo-3552.webp</t>
  </si>
  <si>
    <t xml:space="preserve">1000 × 507</t>
  </si>
  <si>
    <t xml:space="preserve">Proporción alargada (se recorta o queda con mucho espacio vacío)</t>
  </si>
  <si>
    <t xml:space="preserve">Re-tomar en 1200 × 1200 px, fondo blanco</t>
  </si>
  <si>
    <t xml:space="preserve">0013-TOA-02</t>
  </si>
  <si>
    <t xml:space="preserve">Toalla Kraft 600 Pies 6/1</t>
  </si>
  <si>
    <t xml:space="preserve">odoo-3555.webp</t>
  </si>
  <si>
    <t xml:space="preserve">422 × 386</t>
  </si>
  <si>
    <t xml:space="preserve">Baja resolución (lado mayor &lt; 900 px)</t>
  </si>
  <si>
    <t xml:space="preserve">0153-JUM-09</t>
  </si>
  <si>
    <t xml:space="preserve">Jumbo Económico 12/1, 2 Capas</t>
  </si>
  <si>
    <t xml:space="preserve">odoo-3695.webp</t>
  </si>
  <si>
    <t xml:space="preserve">414 × 432</t>
  </si>
  <si>
    <t xml:space="preserve">0168-PAÑ-01</t>
  </si>
  <si>
    <t xml:space="preserve">Pañuelos Faciales 30/1 Cubo Ocean Breeze</t>
  </si>
  <si>
    <t xml:space="preserve">odoo-3710.webp</t>
  </si>
  <si>
    <t xml:space="preserve">796 × 795</t>
  </si>
  <si>
    <t xml:space="preserve">0169-PAÑ-02</t>
  </si>
  <si>
    <t xml:space="preserve">Pañuelos Faciales 30/1 Plano Ocean Breeze</t>
  </si>
  <si>
    <t xml:space="preserve">odoo-3711.webp</t>
  </si>
  <si>
    <t xml:space="preserve">699 × 432</t>
  </si>
  <si>
    <t xml:space="preserve">Baja resolución (lado mayor &lt; 900 px); Proporción alargada (se recorta o queda con mucho espacio vacío)</t>
  </si>
  <si>
    <t xml:space="preserve">0181-SER-07</t>
  </si>
  <si>
    <t xml:space="preserve">Servilleta C-Fold 24/100</t>
  </si>
  <si>
    <t xml:space="preserve">odoo-3723.webp</t>
  </si>
  <si>
    <t xml:space="preserve">524 × 282</t>
  </si>
  <si>
    <t xml:space="preserve">0182-SER-08</t>
  </si>
  <si>
    <t xml:space="preserve">Servilleta C-Fold 24/100 Kraft</t>
  </si>
  <si>
    <t xml:space="preserve">odoo-3724.webp</t>
  </si>
  <si>
    <t xml:space="preserve">1000 × 568</t>
  </si>
  <si>
    <t xml:space="preserve">0191-SER-17</t>
  </si>
  <si>
    <t xml:space="preserve">Servilletas Blanca Disp. 10/500 Ocean Breeze</t>
  </si>
  <si>
    <t xml:space="preserve">odoo-3733.webp</t>
  </si>
  <si>
    <t xml:space="preserve">1000 × 553</t>
  </si>
  <si>
    <t xml:space="preserve">0194-SER-20</t>
  </si>
  <si>
    <t xml:space="preserve">Servilletas Cocktail 8/500 1 PLY Kraft</t>
  </si>
  <si>
    <t xml:space="preserve">odoo-3736.webp</t>
  </si>
  <si>
    <t xml:space="preserve">1000 × 639</t>
  </si>
  <si>
    <t xml:space="preserve">0195-SER-21</t>
  </si>
  <si>
    <t xml:space="preserve">Servilletas Cocktail 8/500 1 PLY Ocean Breeze</t>
  </si>
  <si>
    <t xml:space="preserve">odoo-3737.webp</t>
  </si>
  <si>
    <t xml:space="preserve">880 × 575</t>
  </si>
  <si>
    <t xml:space="preserve">0197-SER-23</t>
  </si>
  <si>
    <t xml:space="preserve">Servilletas Cuadrada 13X13-10/300</t>
  </si>
  <si>
    <t xml:space="preserve">odoo-3739.webp</t>
  </si>
  <si>
    <t xml:space="preserve">1000 × 741</t>
  </si>
  <si>
    <t xml:space="preserve">0208-SER-34</t>
  </si>
  <si>
    <t xml:space="preserve">Servilletas Kraft Disp.10/500 Ocean Breeze</t>
  </si>
  <si>
    <t xml:space="preserve">odoo-3750.webp</t>
  </si>
  <si>
    <t xml:space="preserve">1000 × 663</t>
  </si>
  <si>
    <t xml:space="preserve">0245-COM-12</t>
  </si>
  <si>
    <t xml:space="preserve">Combos 2 Piezas Negros HW 100 UDS</t>
  </si>
  <si>
    <t xml:space="preserve">odoo-3790.webp</t>
  </si>
  <si>
    <t xml:space="preserve">412 × 1000</t>
  </si>
  <si>
    <t xml:space="preserve">0259-COM-13</t>
  </si>
  <si>
    <t xml:space="preserve">Combos 3 Piezas Blanco MW 5/100</t>
  </si>
  <si>
    <t xml:space="preserve">odoo-3804.webp</t>
  </si>
  <si>
    <t xml:space="preserve">441 × 901</t>
  </si>
  <si>
    <t xml:space="preserve">0289-INT-03</t>
  </si>
  <si>
    <t xml:space="preserve">Interfold Quick Napkin Ocean Breeze 30/200</t>
  </si>
  <si>
    <t xml:space="preserve">odoo-3834.webp</t>
  </si>
  <si>
    <t xml:space="preserve">416 × 352</t>
  </si>
  <si>
    <t xml:space="preserve">0324-SER-51</t>
  </si>
  <si>
    <t xml:space="preserve">Servilletas Cocktail Gris 8/125 2 PLY Caja Ocean Breeze</t>
  </si>
  <si>
    <t xml:space="preserve">odoo-3869.webp</t>
  </si>
  <si>
    <t xml:space="preserve">1000 × 439</t>
  </si>
  <si>
    <t xml:space="preserve">0889-COM-14</t>
  </si>
  <si>
    <t xml:space="preserve">Combos 2 PZAS Negro MW 500/1</t>
  </si>
  <si>
    <t xml:space="preserve">odoo-4193.webp</t>
  </si>
  <si>
    <t xml:space="preserve">0331-SER-52</t>
  </si>
  <si>
    <t xml:space="preserve">Servilletas Blanca Disp. 10/500 Impresa</t>
  </si>
  <si>
    <t xml:space="preserve">odoo-4235.webp</t>
  </si>
  <si>
    <t xml:space="preserve">0253-SER-53</t>
  </si>
  <si>
    <t xml:space="preserve">Servilleta C-Fold 48/50 Blanca</t>
  </si>
  <si>
    <t xml:space="preserve">odoo-4240.webp</t>
  </si>
  <si>
    <t xml:space="preserve">0255-INT-05</t>
  </si>
  <si>
    <t xml:space="preserve">Interfold Quick Napkin 30/200 SHH</t>
  </si>
  <si>
    <t xml:space="preserve">odoo-4250.webp</t>
  </si>
  <si>
    <t xml:space="preserve">0264-JUM-06</t>
  </si>
  <si>
    <t xml:space="preserve">Jumbo Económico 12/1, Alianza</t>
  </si>
  <si>
    <t xml:space="preserve">odoo-4264.webp</t>
  </si>
  <si>
    <t xml:space="preserve">0274-SER-53</t>
  </si>
  <si>
    <t xml:space="preserve">Servilletas Blanca 30X30. 10/500 Impresa</t>
  </si>
  <si>
    <t xml:space="preserve">odoo-4300.webp</t>
  </si>
  <si>
    <t xml:space="preserve">0011-SER-02</t>
  </si>
  <si>
    <t xml:space="preserve">Servilletas Moka 36/300 Tall Fold Ocean Breeze 1 capa. Kraft</t>
  </si>
  <si>
    <t xml:space="preserve">odoo-3553.webp</t>
  </si>
  <si>
    <t xml:space="preserve">1000 × 881</t>
  </si>
  <si>
    <t xml:space="preserve">OK (conservar)</t>
  </si>
  <si>
    <t xml:space="preserve">Sin cambios</t>
  </si>
  <si>
    <t xml:space="preserve">No aplica</t>
  </si>
  <si>
    <t xml:space="preserve">0131-HIG-12</t>
  </si>
  <si>
    <t xml:space="preserve">Higiénico 48/1, 24MTS, Envuelto, Ocean Breeze, 2 Capas</t>
  </si>
  <si>
    <t xml:space="preserve">odoo-3673.webp</t>
  </si>
  <si>
    <t xml:space="preserve">981 × 1000</t>
  </si>
  <si>
    <t xml:space="preserve">0188-SER-14</t>
  </si>
  <si>
    <t xml:space="preserve">Servilleta Dinner Kraft 10/100</t>
  </si>
  <si>
    <t xml:space="preserve">odoo-3730.webp</t>
  </si>
  <si>
    <t xml:space="preserve">800 × 1000</t>
  </si>
  <si>
    <t xml:space="preserve">0196-SER-22</t>
  </si>
  <si>
    <t xml:space="preserve">Servilletas Cocktail Elegance 10/120 Negras</t>
  </si>
  <si>
    <t xml:space="preserve">odoo-3738.webp</t>
  </si>
  <si>
    <t xml:space="preserve">1000 × 999</t>
  </si>
  <si>
    <t xml:space="preserve">0201-SER-27</t>
  </si>
  <si>
    <t xml:space="preserve">Servilletas Dinner 20/150 Ocean Breeze. Blanca. Timbrada. 1 Capa</t>
  </si>
  <si>
    <t xml:space="preserve">odoo-3743.webp</t>
  </si>
  <si>
    <t xml:space="preserve">1000 × 906</t>
  </si>
  <si>
    <t xml:space="preserve">0204-SER-30</t>
  </si>
  <si>
    <t xml:space="preserve">Servilletas Dinner Kraft 2 PLY 20/100</t>
  </si>
  <si>
    <t xml:space="preserve">odoo-3746.webp</t>
  </si>
  <si>
    <t xml:space="preserve">1000 × 868</t>
  </si>
  <si>
    <t xml:space="preserve">0206-SER-32</t>
  </si>
  <si>
    <t xml:space="preserve">Servilletas Dispenser 10/400 MB</t>
  </si>
  <si>
    <t xml:space="preserve">odoo-3748.webp</t>
  </si>
  <si>
    <t xml:space="preserve">1000 × 749</t>
  </si>
  <si>
    <t xml:space="preserve">0209-SER-35</t>
  </si>
  <si>
    <t xml:space="preserve">Servilletas Lunch 20/50 Rojas 2 PLY</t>
  </si>
  <si>
    <t xml:space="preserve">odoo-3751.webp</t>
  </si>
  <si>
    <t xml:space="preserve">999 × 1000</t>
  </si>
  <si>
    <t xml:space="preserve">0457-LUN-02</t>
  </si>
  <si>
    <t xml:space="preserve">Lunch Napkin 24 Paquetes de 100 UD</t>
  </si>
  <si>
    <t xml:space="preserve">odoo-4009.webp</t>
  </si>
  <si>
    <t xml:space="preserve">1000 × 800</t>
  </si>
  <si>
    <t xml:space="preserve">0465-SER-73</t>
  </si>
  <si>
    <t xml:space="preserve">Servilletas Lunch 20/50 Azul 2 PLY</t>
  </si>
  <si>
    <t xml:space="preserve">odoo-4017.webp</t>
  </si>
  <si>
    <t xml:space="preserve">1000 × 1000</t>
  </si>
  <si>
    <t xml:space="preserve">0889-SER-56</t>
  </si>
  <si>
    <t xml:space="preserve">Servilletas Dispenser 10/400</t>
  </si>
  <si>
    <t xml:space="preserve">odoo-4180.webp</t>
  </si>
  <si>
    <t xml:space="preserve">3. Fotos de la planta, marcas y el sitio</t>
  </si>
  <si>
    <t xml:space="preserve">Sin retoque con IA, con luz natural o de nave, horizontales. Entregar el archivo original de la cámara o JPG calidad 90 (nosotros lo convertimos a WebP). Si se toman con celular: modo foto normal, no «retrato», sin filtros ni HDR agresivo.</t>
  </si>
  <si>
    <t xml:space="preserve">#</t>
  </si>
  <si>
    <t xml:space="preserve">Toma</t>
  </si>
  <si>
    <t xml:space="preserve">Dónde se usa</t>
  </si>
  <si>
    <t xml:space="preserve">Orientación / proporción</t>
  </si>
  <si>
    <t xml:space="preserve">Tamaño recomendado</t>
  </si>
  <si>
    <t xml:space="preserve">Qué hay hoy</t>
  </si>
  <si>
    <t xml:space="preserve">Qué debe mostrar</t>
  </si>
  <si>
    <t xml:space="preserve">Qué evitar</t>
  </si>
  <si>
    <t xml:space="preserve">¿Necesita autorización?</t>
  </si>
  <si>
    <t xml:space="preserve">Nombre de archivo que entregas</t>
  </si>
  <si>
    <t xml:space="preserve">Fachada y acceso</t>
  </si>
  <si>
    <t xml:space="preserve">Inicio (bloque «Planta»), Nosotros, cabecera de Nosotros</t>
  </si>
  <si>
    <t xml:space="preserve">Horizontal 16:9</t>
  </si>
  <si>
    <t xml:space="preserve">2400 × 1350 px</t>
  </si>
  <si>
    <t xml:space="preserve">Hoy: section-nosotros.webp 1280 × 720</t>
  </si>
  <si>
    <t xml:space="preserve">Frente del edificio de AG Supply en Las Palomas, Santiago, con el rótulo y la entrada visibles; de día, cielo despejado, cámara a la altura de los ojos, sin autos tapando la entrada.</t>
  </si>
  <si>
    <t xml:space="preserve">Contraluz fuerte, cables en primer plano, personas identificables sin autorización.</t>
  </si>
  <si>
    <t xml:space="preserve">No</t>
  </si>
  <si>
    <t xml:space="preserve">Media</t>
  </si>
  <si>
    <t xml:space="preserve">Bobinas de materia prima</t>
  </si>
  <si>
    <t xml:space="preserve">Inicio (cabecera), Planta paso 1 «Bobinas y materia prima»</t>
  </si>
  <si>
    <t xml:space="preserve">Hoy: hero-2.webp 1280 × 720 (retocada con IA)</t>
  </si>
  <si>
    <t xml:space="preserve">Almacén de bobinas de papel base, con la bobina de mayor diámetro en primer plano y el resto en perspectiva. Luz de nave o natural.</t>
  </si>
  <si>
    <t xml:space="preserve">Rótulos de proveedores legibles; retoque con IA; montacargas ajenos a la planta.</t>
  </si>
  <si>
    <t xml:space="preserve">Alta</t>
  </si>
  <si>
    <t xml:space="preserve">Rebobinadora en operación</t>
  </si>
  <si>
    <t xml:space="preserve">Planta paso 2, cabecera de la categoría Papel higiénico</t>
  </si>
  <si>
    <t xml:space="preserve">Horizontal 4:3</t>
  </si>
  <si>
    <t xml:space="preserve">2400 × 1800 px</t>
  </si>
  <si>
    <t xml:space="preserve">Hoy: planta-2.webp 1200 × 900 (retocada con IA)</t>
  </si>
  <si>
    <t xml:space="preserve">Rebobinadora con una bobina en proceso y, si es posible, un operario trabajando (de espaldas o con autorización). Enfoque en la bobina y el papel que sale.</t>
  </si>
  <si>
    <t xml:space="preserve">Equipo detenido y vacío; reflejos fuertes.</t>
  </si>
  <si>
    <t xml:space="preserve">Sí, si sale una persona</t>
  </si>
  <si>
    <t xml:space="preserve">Corte y conversión</t>
  </si>
  <si>
    <t xml:space="preserve">Planta paso 3, cabecera de la categoría Toallas</t>
  </si>
  <si>
    <t xml:space="preserve">Hoy: planta-3.webp 1200 × 900 (retocada con IA)</t>
  </si>
  <si>
    <t xml:space="preserve">Máquina de corte o conversión en funcionamiento, con el papel pasando por la zona de corte. Plano medio de la máquina.</t>
  </si>
  <si>
    <t xml:space="preserve">Zonas de peligro sin protección a la vista; rótulos de terceros.</t>
  </si>
  <si>
    <t xml:space="preserve">Doblado e interfoliado</t>
  </si>
  <si>
    <t xml:space="preserve">Planta paso 3 (alternativa) y categoría Servilletas / Interfoliados</t>
  </si>
  <si>
    <t xml:space="preserve">No existe hoy</t>
  </si>
  <si>
    <t xml:space="preserve">Máquina de doblado con las servilletas o toallas interfoliadas saliendo apiladas; detalle de las hojas dobladas.</t>
  </si>
  <si>
    <t xml:space="preserve">Producto de un cliente con marca visible sin autorización.</t>
  </si>
  <si>
    <t xml:space="preserve">Línea de empaque</t>
  </si>
  <si>
    <t xml:space="preserve">Planta paso 4, cabecera de la categoría Servilletas</t>
  </si>
  <si>
    <t xml:space="preserve">Hoy: planta-4.webp 1200 × 900 (retocada con IA)</t>
  </si>
  <si>
    <t xml:space="preserve">Línea de empaque con el empaque real de Ocean Breeze y de Bonche legible, producto entrando en bolsa o caja. Debe poder leerse la marca sin deformaciones.</t>
  </si>
  <si>
    <t xml:space="preserve">Rótulos deformados; empaques de marca de clientes.</t>
  </si>
  <si>
    <t xml:space="preserve">Almacén de producto terminado y despacho</t>
  </si>
  <si>
    <t xml:space="preserve">Planta paso 5, cabecera del Catálogo</t>
  </si>
  <si>
    <t xml:space="preserve">Hoy: planta-5.webp 1200 × 900 (retocada con IA)</t>
  </si>
  <si>
    <t xml:space="preserve">Paletas o cajas de producto terminado ordenadas, con el camión de AG Supply al fondo si existe. Pasillo despejado, buena luz.</t>
  </si>
  <si>
    <t xml:space="preserve">Cajas con marca de cliente legible; montacargas ajenos.</t>
  </si>
  <si>
    <t xml:space="preserve">Línea Ocean Breeze (producto)</t>
  </si>
  <si>
    <t xml:space="preserve">Página Ocean Breeze, Inicio (marcas)</t>
  </si>
  <si>
    <t xml:space="preserve">Horizontal 16:10</t>
  </si>
  <si>
    <t xml:space="preserve">3000 × 1875 px</t>
  </si>
  <si>
    <t xml:space="preserve">Todos los productos Ocean Breeze juntos (papel higiénico, toalla, servilleta, etc.) de frente, sobre fondo blanco liso o gris muy claro, con el logo legible. Luz difusa, sin sombras duras.</t>
  </si>
  <si>
    <t xml:space="preserve">Fondo con textura o color; productos de otras marcas.</t>
  </si>
  <si>
    <t xml:space="preserve">Línea Bonche (producto)</t>
  </si>
  <si>
    <t xml:space="preserve">Página Bonche, Inicio (marcas)</t>
  </si>
  <si>
    <t xml:space="preserve">Hoy: brand-bonche-hero.webp 1600 × 1000 sobre fondo verde; bonche-productos.webp 1379 × 399 recorte hecho por nosotros</t>
  </si>
  <si>
    <t xml:space="preserve">Todos los productos Bonche juntos de frente, sobre fondo blanco liso, con el logo legible. Con fondo blanco el recorte es limpio. Si es posible, entregar también el PNG recortado con fondo transparente.</t>
  </si>
  <si>
    <t xml:space="preserve">Fondo verde (obliga a recortar y deja halos); retoque con IA.</t>
  </si>
  <si>
    <t xml:space="preserve">Producto en uso en un cliente</t>
  </si>
  <si>
    <t xml:space="preserve">Inicio (mercados), Nosotros</t>
  </si>
  <si>
    <t xml:space="preserve">Horizontal 3:2</t>
  </si>
  <si>
    <t xml:space="preserve">2400 × 1600 px</t>
  </si>
  <si>
    <t xml:space="preserve">Producto AG Supply en un hotel, restaurante o comercio cliente (dispensador, mesa servida, baño). Que se vea el producto y su empaque o dispensador sin identificar a clientes finales.</t>
  </si>
  <si>
    <t xml:space="preserve">Marcas o rostros de terceros visibles.</t>
  </si>
  <si>
    <t xml:space="preserve">Sí: del cliente y de las personas que salgan</t>
  </si>
  <si>
    <t xml:space="preserve">Baja</t>
  </si>
  <si>
    <t xml:space="preserve">Fotos para redes y compartir</t>
  </si>
  <si>
    <t xml:space="preserve">Imagen al compartir el enlace (Open Graph) en WhatsApp, Facebook, LinkedIn</t>
  </si>
  <si>
    <t xml:space="preserve">Horizontal 1.91:1</t>
  </si>
  <si>
    <t xml:space="preserve">1200 × 630 px</t>
  </si>
  <si>
    <t xml:space="preserve">Hoy: og.png 1200 × 630 generada por nosotros con el logo</t>
  </si>
  <si>
    <t xml:space="preserve">Opcional: si hay una foto de la planta o del producto que represente mejor a la empresa, usarla de fondo con el logo encima.</t>
  </si>
  <si>
    <t xml:space="preserve">Texto pequeño (no se lee en miniatura).</t>
  </si>
  <si>
    <t xml:space="preserve">4. Logos, iconos y marca</t>
  </si>
  <si>
    <t xml:space="preserve">Todo en formato vectorial cuando sea posible. Sin vector, mínimo PNG con fondo transparente a 2000 px de ancho.</t>
  </si>
  <si>
    <t xml:space="preserve">Entregable</t>
  </si>
  <si>
    <t xml:space="preserve">Formato y tamaño</t>
  </si>
  <si>
    <t xml:space="preserve">Detalles</t>
  </si>
  <si>
    <t xml:space="preserve">Archivo entregado</t>
  </si>
  <si>
    <t xml:space="preserve">Logotipo AG Supply, color, vector</t>
  </si>
  <si>
    <t xml:space="preserve">SVG, AI o PDF vectorial (preferible SVG)</t>
  </si>
  <si>
    <t xml:space="preserve">Fondo transparente. Con espacio de respeto alrededor.</t>
  </si>
  <si>
    <t xml:space="preserve">Hoy: PNG 1080 × 328 y WebP 540 × 164 recortados del sitio anterior. En tamaños grandes se ve borroso.</t>
  </si>
  <si>
    <t xml:space="preserve">Cabecera, pie, OG, correo, impresos</t>
  </si>
  <si>
    <t xml:space="preserve">Logotipo AG Supply, versión blanca</t>
  </si>
  <si>
    <t xml:space="preserve">SVG o PNG transparente ≥ 2000 px de ancho</t>
  </si>
  <si>
    <t xml:space="preserve">Todo en blanco, para fondos azules.</t>
  </si>
  <si>
    <t xml:space="preserve">No existe. Solo se necesita si se quiere usar el logo sobre la banda azul.</t>
  </si>
  <si>
    <t xml:space="preserve">Bandas azules, redes</t>
  </si>
  <si>
    <t xml:space="preserve">Monograma «AG» (icono)</t>
  </si>
  <si>
    <t xml:space="preserve">SVG + PNG 512 × 512 px, transparente, cuadrado</t>
  </si>
  <si>
    <t xml:space="preserve">Proporción 1:1 con margen del 10 %.</t>
  </si>
  <si>
    <t xml:space="preserve">Hoy: icon.png 128 × 128 (paleta de 256 colores) y monograma 500 × 500 con fondo.</t>
  </si>
  <si>
    <t xml:space="preserve">Pestaña del navegador (favicon), icono en el móvil, perfil de redes</t>
  </si>
  <si>
    <t xml:space="preserve">Logotipo Ocean Breeze, vector</t>
  </si>
  <si>
    <t xml:space="preserve">SVG, AI o PDF</t>
  </si>
  <si>
    <t xml:space="preserve">Fondo transparente.</t>
  </si>
  <si>
    <t xml:space="preserve">Hoy: WebP 800 × 500.</t>
  </si>
  <si>
    <t xml:space="preserve">Página de la marca, catálogo, Inicio</t>
  </si>
  <si>
    <t xml:space="preserve">Logotipo Bonche, vector</t>
  </si>
  <si>
    <t xml:space="preserve">Fondo transparente. Versión con y sin celeste/naranja si existe.</t>
  </si>
  <si>
    <t xml:space="preserve">Códigos de color oficiales</t>
  </si>
  <si>
    <t xml:space="preserve">HEX, Pantone o CMYK de AG Supply, Ocean Breeze y Bonche</t>
  </si>
  <si>
    <t xml:space="preserve">Una tabla en Word o Excel, o el manual de marca.</t>
  </si>
  <si>
    <t xml:space="preserve">Usamos #1C75BC (azul) y #ED1C24 (rojo) tomados del logo; no hay manual oficial.</t>
  </si>
  <si>
    <t xml:space="preserve">Confirmar que el sitio usa los colores correctos</t>
  </si>
  <si>
    <t xml:space="preserve">Tipografía oficial del logo</t>
  </si>
  <si>
    <t xml:space="preserve">Nombre de la fuente y licencia (si existe)</t>
  </si>
  <si>
    <t xml:space="preserve">Solo si la marca tiene una definida.</t>
  </si>
  <si>
    <t xml:space="preserve">El sitio usa Archivo (titulares) e IBM Plex Sans (texto), elegidas por parecido con el logo.</t>
  </si>
  <si>
    <t xml:space="preserve">Sitio y materiales</t>
  </si>
  <si>
    <t xml:space="preserve">Manual de marca (si existe)</t>
  </si>
  <si>
    <t xml:space="preserve">PDF</t>
  </si>
  <si>
    <t xml:space="preserve">Usos permitidos, tamaños mínimos, colores.</t>
  </si>
  <si>
    <t xml:space="preserve">No se ha recibido.</t>
  </si>
  <si>
    <t xml:space="preserve">Consistencia en todos los canales</t>
  </si>
  <si>
    <t xml:space="preserve">5. Información que solo el cliente puede dar</t>
  </si>
  <si>
    <t xml:space="preserve">Nada de esto se publica como hecho hasta que se confirme. Escribe la respuesta en la columna «Respuesta del cliente».</t>
  </si>
  <si>
    <t xml:space="preserve">Tema</t>
  </si>
  <si>
    <t xml:space="preserve">Qué necesitamos exactamente</t>
  </si>
  <si>
    <t xml:space="preserve">Respuesta del cliente</t>
  </si>
  <si>
    <t xml:space="preserve">Fecha</t>
  </si>
  <si>
    <t xml:space="preserve">Dirección completa</t>
  </si>
  <si>
    <t xml:space="preserve">Calle, número, sector, ciudad, provincia y código postal de la planta. Hoy solo dice «Sector Las Palomas, Santiago».</t>
  </si>
  <si>
    <t xml:space="preserve">Contacto, JSON-LD, Perfil de Empresa de Google</t>
  </si>
  <si>
    <t xml:space="preserve">Horario definitivo</t>
  </si>
  <si>
    <t xml:space="preserve">Días y horas (¿sábado?, ¿festivos?). Hoy: lunes a viernes, 8:00 a. m. a 5:00 p. m.</t>
  </si>
  <si>
    <t xml:space="preserve">Todo el sitio, Perfil de Empresa de Google</t>
  </si>
  <si>
    <t xml:space="preserve">Correo definitivo</t>
  </si>
  <si>
    <t xml:space="preserve">¿Se mantiene agsupplycxc@gmail.com o hay un correo del dominio (@agsupply.com.do)?</t>
  </si>
  <si>
    <t xml:space="preserve">Contacto, formulario, pie de página</t>
  </si>
  <si>
    <t xml:space="preserve">WhatsApp</t>
  </si>
  <si>
    <t xml:space="preserve">Confirmar que 809-612-2020 recibe WhatsApp y quién lo atiende en el horario publicado.</t>
  </si>
  <si>
    <t xml:space="preserve">Cotización, todos los botones de WhatsApp</t>
  </si>
  <si>
    <t xml:space="preserve">Redes sociales</t>
  </si>
  <si>
    <t xml:space="preserve">Enlaces oficiales de Instagram (hoy @agsupplyrd), Facebook, LinkedIn y otras.</t>
  </si>
  <si>
    <t xml:space="preserve">Pie de página, datos estructurados</t>
  </si>
  <si>
    <t xml:space="preserve">Aprobación del diseño</t>
  </si>
  <si>
    <t xml:space="preserve">Revisar la versión publicada y decir qué se queda, qué cambia (colores, tipografía, secciones, textos).</t>
  </si>
  <si>
    <t xml:space="preserve">Todo el sitio</t>
  </si>
  <si>
    <t xml:space="preserve">Revisión del inglés</t>
  </si>
  <si>
    <t xml:space="preserve">Revisar la versión /en/: términos técnicos, nombres de producto traducidos y el eslogan en inglés («Feel the clean», el oficial es «Siente la limpieza»).</t>
  </si>
  <si>
    <t xml:space="preserve">/en/ completo</t>
  </si>
  <si>
    <t xml:space="preserve">Categorías que fabrica</t>
  </si>
  <si>
    <t xml:space="preserve">Confirmar que AG Supply fabrica papel higiénico, toallas, servilletas, interfoliados y facial, y que jabón, desechables y cubertería son suministrados. Indicar excepciones.</t>
  </si>
  <si>
    <t xml:space="preserve">Fichas («Fabricado» o «Suministrado»), FAQ, llms.txt</t>
  </si>
  <si>
    <t xml:space="preserve">Toalla de tela</t>
  </si>
  <si>
    <t xml:space="preserve">«Toalla Tela Cocina» está marcada como no fabricada. Confirmar.</t>
  </si>
  <si>
    <t xml:space="preserve">Ficha de producto</t>
  </si>
  <si>
    <t xml:space="preserve">Marcas de terceros</t>
  </si>
  <si>
    <t xml:space="preserve">Confirmar si Durasol y Mibea se muestran. Las demás (Chito, Pannez, Rancho, Samey, Senator, Jerez, Maine, Sumeh, Barcelo, Geto, La Terminal) se ocultaron del texto público.</t>
  </si>
  <si>
    <t xml:space="preserve">Catálogo</t>
  </si>
  <si>
    <t xml:space="preserve">Siglas internas</t>
  </si>
  <si>
    <t xml:space="preserve">Definir qué significan MW, HW, SD, U.R, TAD, SMC, XL, Lc, Mopc, SHH, MB (o dar un nombre público equivalente).</t>
  </si>
  <si>
    <t xml:space="preserve">Nombres de producto, búsqueda, FAQ</t>
  </si>
  <si>
    <t xml:space="preserve">Notación de presentación</t>
  </si>
  <si>
    <t xml:space="preserve">Qué significan 12/1, 48/1, 20/150: cantidad por paquete y por caja, y la unidad mínima de pedido.</t>
  </si>
  <si>
    <t xml:space="preserve">FAQ, cotización, fichas</t>
  </si>
  <si>
    <t xml:space="preserve">«5 pulgoso»</t>
  </si>
  <si>
    <t xml:space="preserve">Qué significa en «Higiénico 48/1, sin envoltura 5 pulgoso, 105 gr» (Odoo 4237).</t>
  </si>
  <si>
    <t xml:space="preserve">Pedido mínimo, plazos y cobertura</t>
  </si>
  <si>
    <t xml:space="preserve">¿Hay pedido mínimo, tiempo de entrega y zonas de entrega? Hoy el sitio dice «se coordina por pedido».</t>
  </si>
  <si>
    <t xml:space="preserve">Catálogo, FAQ, Contacto</t>
  </si>
  <si>
    <t xml:space="preserve">Certificaciones</t>
  </si>
  <si>
    <t xml:space="preserve">Si existen: nombre, entidad que la emite, número, vigencia y copia en PDF. Si no existen, no se publica nada.</t>
  </si>
  <si>
    <t xml:space="preserve">Nosotros</t>
  </si>
  <si>
    <t xml:space="preserve">Clientes y casos</t>
  </si>
  <si>
    <t xml:space="preserve">Clientes que autoricen ser nombrados (nombre, logo, una frase). Si no hay, no se publica.</t>
  </si>
  <si>
    <t xml:space="preserve">Inicio, Nosotros</t>
  </si>
  <si>
    <t xml:space="preserve">Línea completa de Bonche</t>
  </si>
  <si>
    <t xml:space="preserve">Hoy solo hay 2 referencias Bonche en el catálogo. ¿Hay más?</t>
  </si>
  <si>
    <t xml:space="preserve">Página Bonche</t>
  </si>
  <si>
    <t xml:space="preserve">Distribuidores</t>
  </si>
  <si>
    <t xml:space="preserve">Confirmar nombre, teléfono y zona de cada distribuidor publicado y añadir dirección si se quiere mostrar.</t>
  </si>
  <si>
    <t xml:space="preserve">Contacto, Inicio</t>
  </si>
  <si>
    <t xml:space="preserve">Datos para política de privacidad</t>
  </si>
  <si>
    <t xml:space="preserve">Razón social, correo de contacto para solicitudes de datos y si se usa Google Analytics.</t>
  </si>
  <si>
    <t xml:space="preserve">Página de privacidad (nueva)</t>
  </si>
  <si>
    <t xml:space="preserve">Equipo y fotos de personas</t>
  </si>
  <si>
    <t xml:space="preserve">Si se quiere mostrar al equipo: nombres, cargos y autorización escrita de cada persona.</t>
  </si>
  <si>
    <t xml:space="preserve">6. Correcciones del catálogo en Odoo</t>
  </si>
  <si>
    <t xml:space="preserve">El sitio muestra el SKU tal como viene de Odoo: no se inventan ni reasignan códigos. Después de corregir en Odoo, se vuelve a importar el catálogo.</t>
  </si>
  <si>
    <t xml:space="preserve">Tipo</t>
  </si>
  <si>
    <t xml:space="preserve">SKU actual</t>
  </si>
  <si>
    <t xml:space="preserve">Qué corregir</t>
  </si>
  <si>
    <t xml:space="preserve">SKU duplicado</t>
  </si>
  <si>
    <t xml:space="preserve">Asignar un SKU único a cada producto (hoy comparten código con otros).</t>
  </si>
  <si>
    <t xml:space="preserve">SKU con formato inválido</t>
  </si>
  <si>
    <t xml:space="preserve">Corregir al formato NNNN-AAA-NN (por ejemplo 0889-TOA-33). El sitio oculta SKU inválidos.</t>
  </si>
  <si>
    <t xml:space="preserve">Producto sin SKU</t>
  </si>
  <si>
    <t xml:space="preserve">Asignar SKU en Odoo.</t>
  </si>
  <si>
    <t xml:space="preserve">Posible errata</t>
  </si>
  <si>
    <t xml:space="preserve">¿Es 20/150? Confirmar y corregir el nombre.</t>
  </si>
  <si>
    <t xml:space="preserve">Nombre truncado: completar.</t>
  </si>
  <si>
    <t xml:space="preserve">Datos técnicos faltantes (opcional)</t>
  </si>
  <si>
    <t xml:space="preserve">Sin foto y sin datos técnicos (capas, medida, color, material…). Con foto o con datos la ficha deja de estar en noindex.</t>
  </si>
  <si>
    <t xml:space="preserve">7. Tareas técnicas, de Google y de despliegue</t>
  </si>
  <si>
    <t xml:space="preserve">«Responsable» dice quién da el siguiente paso. Lo que dice Claude se hace en esta sesión cuando el dato o la autorización esté disponible.</t>
  </si>
  <si>
    <t xml:space="preserve">Tarea</t>
  </si>
  <si>
    <t xml:space="preserve">Responsable</t>
  </si>
  <si>
    <t xml:space="preserve">Detalle paso a paso</t>
  </si>
  <si>
    <t xml:space="preserve">Depende de</t>
  </si>
  <si>
    <t xml:space="preserve">Decidir el marcado «Product» de las fichas</t>
  </si>
  <si>
    <t xml:space="preserve">Cliente</t>
  </si>
  <si>
    <t xml:space="preserve">Search Console marca error «falta offers» porque no hay precios. Opciones: (1) dejarlo, (2) quitar el marcado Product, (3) publicar precios de referencia reales.</t>
  </si>
  <si>
    <t xml:space="preserve">Crear la clave de Web3Forms</t>
  </si>
  <si>
    <t xml:space="preserve">En web3forms.com crear la clave con el correo de contacto, restringirla a agsupply.com.do y cargarla como secreto NEXT_PUBLIC_WEB3FORMS_KEY en GitHub (Settings → Secrets → Actions). Sin ella el formulario abre el correo del visitante.</t>
  </si>
  <si>
    <t xml:space="preserve">Correo de contacto definitivo</t>
  </si>
  <si>
    <t xml:space="preserve">Crear propiedad de Google Analytics 4</t>
  </si>
  <si>
    <t xml:space="preserve">Crear la propiedad, copiar el ID de medición G-XXXXXXXXXX y entregarlo. Con él se activa la medición (ya está programada y apagada).</t>
  </si>
  <si>
    <t xml:space="preserve">Política de privacidad</t>
  </si>
  <si>
    <t xml:space="preserve">Cargar el ID de Analytics en el despliegue</t>
  </si>
  <si>
    <t xml:space="preserve">Claude</t>
  </si>
  <si>
    <t xml:space="preserve">Añadir NEXT_PUBLIC_ANALYTICS_ID al workflow de despliegue, volver a construir y comprobar en DebugView que llegan los eventos. Marcar como eventos clave: quote_whatsapp_send, contact_submit, whatsapp_click.</t>
  </si>
  <si>
    <t xml:space="preserve">ID de GA4</t>
  </si>
  <si>
    <t xml:space="preserve">Página de política de privacidad</t>
  </si>
  <si>
    <t xml:space="preserve">Claude + Cliente</t>
  </si>
  <si>
    <t xml:space="preserve">Claude la redacta con los datos de la hoja 5; el cliente la aprueba. Debe publicarse antes de activar Analytics.</t>
  </si>
  <si>
    <t xml:space="preserve">Datos de la hoja 5</t>
  </si>
  <si>
    <t xml:space="preserve">Search Console: enviar el sitemap</t>
  </si>
  <si>
    <t xml:space="preserve">Indexación → Sitemaps → añadir sitemap.xml. Debe mostrar «Correcto» y unas 258 URLs.</t>
  </si>
  <si>
    <t xml:space="preserve">Propiedad verificada (hecho)</t>
  </si>
  <si>
    <t xml:space="preserve">Search Console: solicitar indexación</t>
  </si>
  <si>
    <t xml:space="preserve">Inspección de URL + «Solicitar indexación» en /, /productos/, /en/, /en/products/, /productos/cuberteria/ y una ficha con foto. No en las fichas noindex.</t>
  </si>
  <si>
    <t xml:space="preserve">Sitemap enviado</t>
  </si>
  <si>
    <t xml:space="preserve">Search Console: revisar a 1-2 semanas</t>
  </si>
  <si>
    <t xml:space="preserve">Páginas (indexadas vs excluidas; las 55 fichas delgadas aparecerán como «Excluida por noindex»), Core Web Vitals y Rendimiento.</t>
  </si>
  <si>
    <t xml:space="preserve">1-2 semanas desde el despliegue</t>
  </si>
  <si>
    <t xml:space="preserve">Perfil de Empresa de Google (Maps)</t>
  </si>
  <si>
    <t xml:space="preserve">Crear o reclamar el perfil de AG Supply en Las Palomas, Santiago, con teléfono, horario, categoría y web. Verificarlo con el método que pida Google. Debe coincidir con los datos de la web.</t>
  </si>
  <si>
    <t xml:space="preserve">Dirección y horario confirmados (hoja 5)</t>
  </si>
  <si>
    <t xml:space="preserve">Desactivar la vista previa en GitHub Pages</t>
  </si>
  <si>
    <t xml:space="preserve">Cliente (dueño del repositorio)</t>
  </si>
  <si>
    <t xml:space="preserve">Settings → Pages → desactivar, para que no quede un duplicado de la web en agsupplytic.github.io.</t>
  </si>
  <si>
    <t xml:space="preserve">Ninguno</t>
  </si>
  <si>
    <t xml:space="preserve">Activar FTPS en Hostinger</t>
  </si>
  <si>
    <t xml:space="preserve">El despliegue usa FTP; Hostinger permite FTPS. Probar en una rama antes de cambiar el workflow (protocol: ftps).</t>
  </si>
  <si>
    <t xml:space="preserve">Activar HSTS</t>
  </si>
  <si>
    <t xml:space="preserve">Agregar Strict-Transport-Security solo cuando todo el dominio (incluidos subdominios que se usen) responda por HTTPS. Difícil de revertir.</t>
  </si>
  <si>
    <t xml:space="preserve">Confirmar subdominios en uso</t>
  </si>
  <si>
    <t xml:space="preserve">Subir las fotos de producto y desplegar</t>
  </si>
  <si>
    <t xml:space="preserve">Cliente + Claude</t>
  </si>
  <si>
    <t xml:space="preserve">Cliente sube a public/images/products/ con el nombre odoo-&lt;id&gt;.webp. Claude ejecuta npm run content:curate, verifica y despliega. Cada ficha con foto pasa a indexarse.</t>
  </si>
  <si>
    <t xml:space="preserve">Hoja 1</t>
  </si>
  <si>
    <t xml:space="preserve">Actualizar documentación</t>
  </si>
  <si>
    <t xml:space="preserve">docs/FOTOGRAFIA.md aún habla del logo sobre pastilla blanca y docs/INFORME-RENOVACION.md no recoge el resultado del despliegue a producción.</t>
  </si>
  <si>
    <t xml:space="preserve">Se hace con el siguiente despliegue</t>
  </si>
  <si>
    <t xml:space="preserve">Medir rendimiento en producción</t>
  </si>
  <si>
    <t xml:space="preserve">Correr Lighthouse sobre agsupply.com.do (hoy solo se midió en local: accesibilidad, buenas prácticas y SEO 100; rendimiento móvil 90-94).</t>
  </si>
  <si>
    <t xml:space="preserve">Mantenimiento de redirecciones</t>
  </si>
  <si>
    <t xml:space="preserve">37 productos cambiaron de URL con redirección 301. Revisar en Search Console que no aparezcan errores 404 en 2-4 semanas.</t>
  </si>
  <si>
    <t xml:space="preserve">Indexación → Páginas</t>
  </si>
</sst>
</file>

<file path=xl/styles.xml><?xml version="1.0" encoding="utf-8"?>
<styleSheet xmlns="http://schemas.openxmlformats.org/spreadsheetml/2006/main">
  <numFmts count="2">
    <numFmt numFmtId="164" formatCode="General"/>
    <numFmt numFmtId="165" formatCode="0%"/>
  </numFmts>
  <fonts count="11">
    <font>
      <sz val="11"/>
      <color theme="1"/>
      <name val="Calibri"/>
      <family val="2"/>
      <charset val="1"/>
    </font>
    <font>
      <sz val="10"/>
      <name val="Arial"/>
      <family val="0"/>
    </font>
    <font>
      <sz val="10"/>
      <name val="Arial"/>
      <family val="0"/>
    </font>
    <font>
      <sz val="10"/>
      <name val="Arial"/>
      <family val="0"/>
    </font>
    <font>
      <b val="true"/>
      <sz val="16"/>
      <color rgb="FF1C75BC"/>
      <name val="Arial"/>
      <family val="0"/>
      <charset val="1"/>
    </font>
    <font>
      <i val="true"/>
      <sz val="10"/>
      <name val="Arial"/>
      <family val="0"/>
      <charset val="1"/>
    </font>
    <font>
      <b val="true"/>
      <sz val="10"/>
      <color rgb="FFFFFFFF"/>
      <name val="Arial"/>
      <family val="0"/>
      <charset val="1"/>
    </font>
    <font>
      <b val="true"/>
      <sz val="10"/>
      <name val="Arial"/>
      <family val="0"/>
      <charset val="1"/>
    </font>
    <font>
      <sz val="10"/>
      <name val="Arial"/>
      <family val="0"/>
      <charset val="1"/>
    </font>
    <font>
      <b val="true"/>
      <sz val="12"/>
      <color rgb="FF1C75BC"/>
      <name val="Arial"/>
      <family val="0"/>
      <charset val="1"/>
    </font>
    <font>
      <b val="true"/>
      <sz val="14"/>
      <color rgb="FF1C75BC"/>
      <name val="Arial"/>
      <family val="0"/>
      <charset val="1"/>
    </font>
  </fonts>
  <fills count="4">
    <fill>
      <patternFill patternType="none"/>
    </fill>
    <fill>
      <patternFill patternType="gray125"/>
    </fill>
    <fill>
      <patternFill patternType="solid">
        <fgColor rgb="FF1C75BC"/>
        <bgColor rgb="FF008080"/>
      </patternFill>
    </fill>
    <fill>
      <patternFill patternType="solid">
        <fgColor rgb="FFEEF5FB"/>
        <bgColor rgb="FFFFFFFF"/>
      </patternFill>
    </fill>
  </fills>
  <borders count="2">
    <border diagonalUp="false" diagonalDown="false">
      <left/>
      <right/>
      <top/>
      <bottom/>
      <diagonal/>
    </border>
    <border diagonalUp="false" diagonalDown="false">
      <left style="thin">
        <color rgb="FFD3DAE1"/>
      </left>
      <right style="thin">
        <color rgb="FFD3DAE1"/>
      </right>
      <top style="thin">
        <color rgb="FFD3DAE1"/>
      </top>
      <bottom style="thin">
        <color rgb="FFD3DAE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C75BC"/>
          <bgColor rgb="FF000000"/>
        </patternFill>
      </fill>
    </dxf>
    <dxf>
      <fill>
        <patternFill patternType="solid">
          <fgColor rgb="FFEEF5FB"/>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EF5FB"/>
      <rgbColor rgb="FFCCFFFF"/>
      <rgbColor rgb="FF660066"/>
      <rgbColor rgb="FFFF8080"/>
      <rgbColor rgb="FF1C75BC"/>
      <rgbColor rgb="FFD3DAE1"/>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drawing" Target="../drawings/drawing6.xml"/>
</Relationships>
</file>

<file path=xl/worksheets/_rels/sheet9.xml.rels><?xml version="1.0" encoding="UTF-8"?>
<Relationships xmlns="http://schemas.openxmlformats.org/package/2006/relationships"><Relationship Id="rId1"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62"/>
    <col collapsed="false" customWidth="true" hidden="false" outlineLevel="0" max="3" min="3" style="0" width="10"/>
    <col collapsed="false" customWidth="true" hidden="false" outlineLevel="0" max="5" min="4" style="0" width="12"/>
    <col collapsed="false" customWidth="true" hidden="false" outlineLevel="0" max="6" min="6" style="0" width="10"/>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c r="C4" s="3" t="s">
        <v>4</v>
      </c>
      <c r="D4" s="3" t="s">
        <v>5</v>
      </c>
      <c r="E4" s="3" t="s">
        <v>6</v>
      </c>
      <c r="F4" s="3" t="s">
        <v>7</v>
      </c>
    </row>
    <row r="5" customFormat="false" ht="15" hidden="false" customHeight="false" outlineLevel="0" collapsed="false">
      <c r="A5" s="4" t="s">
        <v>8</v>
      </c>
      <c r="B5" s="5" t="s">
        <v>9</v>
      </c>
      <c r="C5" s="5" t="n">
        <f aca="false">COUNTA('1 Fotos de producto'!$M$5:$M$139)</f>
        <v>135</v>
      </c>
      <c r="D5" s="5" t="n">
        <f aca="false">COUNTIF('1 Fotos de producto'!$M$5:$M$139,"Pendiente")+COUNTIF('1 Fotos de producto'!$M$5:$M$139,"En curso")</f>
        <v>135</v>
      </c>
      <c r="E5" s="5" t="n">
        <f aca="false">COUNTIF('1 Fotos de producto'!$M$5:$M$139,"Entregado")</f>
        <v>0</v>
      </c>
      <c r="F5" s="6" t="n">
        <f aca="false">IF((C5-COUNTIF('1 Fotos de producto'!$M$5:$M$139,"No aplica"))=0,0,E5/(C5-COUNTIF('1 Fotos de producto'!$M$5:$M$139,"No aplica")))</f>
        <v>0</v>
      </c>
    </row>
    <row r="6" customFormat="false" ht="15" hidden="false" customHeight="false" outlineLevel="0" collapsed="false">
      <c r="A6" s="4" t="s">
        <v>10</v>
      </c>
      <c r="B6" s="5" t="s">
        <v>11</v>
      </c>
      <c r="C6" s="5" t="n">
        <f aca="false">COUNTA('2 Fotos existentes'!$H$5:$H$37)</f>
        <v>33</v>
      </c>
      <c r="D6" s="5" t="n">
        <f aca="false">COUNTIF('2 Fotos existentes'!$H$5:$H$37,"Pendiente")+COUNTIF('2 Fotos existentes'!$H$5:$H$37,"En curso")</f>
        <v>22</v>
      </c>
      <c r="E6" s="5" t="n">
        <f aca="false">COUNTIF('2 Fotos existentes'!$H$5:$H$37,"Entregado")</f>
        <v>0</v>
      </c>
      <c r="F6" s="6" t="n">
        <f aca="false">IF((C6-COUNTIF('2 Fotos existentes'!$H$5:$H$37,"No aplica"))=0,0,E6/(C6-COUNTIF('2 Fotos existentes'!$H$5:$H$37,"No aplica")))</f>
        <v>0</v>
      </c>
    </row>
    <row r="7" customFormat="false" ht="15" hidden="false" customHeight="false" outlineLevel="0" collapsed="false">
      <c r="A7" s="4" t="s">
        <v>12</v>
      </c>
      <c r="B7" s="5" t="s">
        <v>13</v>
      </c>
      <c r="C7" s="5" t="n">
        <f aca="false">COUNTA('3 Fotos del sitio'!$K$5:$K$15)</f>
        <v>11</v>
      </c>
      <c r="D7" s="5" t="n">
        <f aca="false">COUNTIF('3 Fotos del sitio'!$K$5:$K$15,"Pendiente")+COUNTIF('3 Fotos del sitio'!$K$5:$K$15,"En curso")</f>
        <v>11</v>
      </c>
      <c r="E7" s="5" t="n">
        <f aca="false">COUNTIF('3 Fotos del sitio'!$K$5:$K$15,"Entregado")</f>
        <v>0</v>
      </c>
      <c r="F7" s="6" t="n">
        <f aca="false">IF((C7-COUNTIF('3 Fotos del sitio'!$K$5:$K$15,"No aplica"))=0,0,E7/(C7-COUNTIF('3 Fotos del sitio'!$K$5:$K$15,"No aplica")))</f>
        <v>0</v>
      </c>
    </row>
    <row r="8" customFormat="false" ht="15" hidden="false" customHeight="false" outlineLevel="0" collapsed="false">
      <c r="A8" s="4" t="s">
        <v>14</v>
      </c>
      <c r="B8" s="5" t="s">
        <v>15</v>
      </c>
      <c r="C8" s="5" t="n">
        <f aca="false">COUNTA('4 Logos y marca'!$H$5:$H$12)</f>
        <v>8</v>
      </c>
      <c r="D8" s="5" t="n">
        <f aca="false">COUNTIF('4 Logos y marca'!$H$5:$H$12,"Pendiente")+COUNTIF('4 Logos y marca'!$H$5:$H$12,"En curso")</f>
        <v>8</v>
      </c>
      <c r="E8" s="5" t="n">
        <f aca="false">COUNTIF('4 Logos y marca'!$H$5:$H$12,"Entregado")</f>
        <v>0</v>
      </c>
      <c r="F8" s="6" t="n">
        <f aca="false">IF((C8-COUNTIF('4 Logos y marca'!$H$5:$H$12,"No aplica"))=0,0,E8/(C8-COUNTIF('4 Logos y marca'!$H$5:$H$12,"No aplica")))</f>
        <v>0</v>
      </c>
    </row>
    <row r="9" customFormat="false" ht="15" hidden="false" customHeight="false" outlineLevel="0" collapsed="false">
      <c r="A9" s="4" t="s">
        <v>16</v>
      </c>
      <c r="B9" s="5" t="s">
        <v>17</v>
      </c>
      <c r="C9" s="5" t="n">
        <f aca="false">COUNTA('5 Datos del cliente'!$F$5:$F$24)</f>
        <v>20</v>
      </c>
      <c r="D9" s="5" t="n">
        <f aca="false">COUNTIF('5 Datos del cliente'!$F$5:$F$24,"Pendiente")+COUNTIF('5 Datos del cliente'!$F$5:$F$24,"En curso")</f>
        <v>20</v>
      </c>
      <c r="E9" s="5" t="n">
        <f aca="false">COUNTIF('5 Datos del cliente'!$F$5:$F$24,"Entregado")</f>
        <v>0</v>
      </c>
      <c r="F9" s="6" t="n">
        <f aca="false">IF((C9-COUNTIF('5 Datos del cliente'!$F$5:$F$24,"No aplica"))=0,0,E9/(C9-COUNTIF('5 Datos del cliente'!$F$5:$F$24,"No aplica")))</f>
        <v>0</v>
      </c>
    </row>
    <row r="10" customFormat="false" ht="15" hidden="false" customHeight="false" outlineLevel="0" collapsed="false">
      <c r="A10" s="4" t="s">
        <v>18</v>
      </c>
      <c r="B10" s="5" t="s">
        <v>19</v>
      </c>
      <c r="C10" s="5" t="n">
        <f aca="false">COUNTA('6 Odoo (catálogo)'!$F$5:$F$73)</f>
        <v>69</v>
      </c>
      <c r="D10" s="5" t="n">
        <f aca="false">COUNTIF('6 Odoo (catálogo)'!$F$5:$F$73,"Pendiente")+COUNTIF('6 Odoo (catálogo)'!$F$5:$F$73,"En curso")</f>
        <v>69</v>
      </c>
      <c r="E10" s="5" t="n">
        <f aca="false">COUNTIF('6 Odoo (catálogo)'!$F$5:$F$73,"Entregado")</f>
        <v>0</v>
      </c>
      <c r="F10" s="6" t="n">
        <f aca="false">IF((C10-COUNTIF('6 Odoo (catálogo)'!$F$5:$F$73,"No aplica"))=0,0,E10/(C10-COUNTIF('6 Odoo (catálogo)'!$F$5:$F$73,"No aplica")))</f>
        <v>0</v>
      </c>
    </row>
    <row r="11" customFormat="false" ht="15" hidden="false" customHeight="false" outlineLevel="0" collapsed="false">
      <c r="A11" s="4" t="s">
        <v>20</v>
      </c>
      <c r="B11" s="5" t="s">
        <v>21</v>
      </c>
      <c r="C11" s="5" t="n">
        <f aca="false">COUNTA('7 Técnico y Google'!$G$5:$G$20)</f>
        <v>16</v>
      </c>
      <c r="D11" s="5" t="n">
        <f aca="false">COUNTIF('7 Técnico y Google'!$G$5:$G$20,"Pendiente")+COUNTIF('7 Técnico y Google'!$G$5:$G$20,"En curso")</f>
        <v>16</v>
      </c>
      <c r="E11" s="5" t="n">
        <f aca="false">COUNTIF('7 Técnico y Google'!$G$5:$G$20,"Entregado")</f>
        <v>0</v>
      </c>
      <c r="F11" s="6" t="n">
        <f aca="false">IF((C11-COUNTIF('7 Técnico y Google'!$G$5:$G$20,"No aplica"))=0,0,E11/(C11-COUNTIF('7 Técnico y Google'!$G$5:$G$20,"No aplica")))</f>
        <v>0</v>
      </c>
    </row>
    <row r="12" customFormat="false" ht="15" hidden="false" customHeight="false" outlineLevel="0" collapsed="false">
      <c r="A12" s="7" t="s">
        <v>22</v>
      </c>
      <c r="B12" s="8"/>
      <c r="C12" s="7" t="n">
        <f aca="false">SUM(C5:C11)</f>
        <v>292</v>
      </c>
      <c r="D12" s="7" t="n">
        <f aca="false">SUM(D5:D11)</f>
        <v>281</v>
      </c>
      <c r="E12" s="7" t="n">
        <f aca="false">SUM(E5:E11)</f>
        <v>0</v>
      </c>
      <c r="F12" s="9" t="n">
        <f aca="false">IF(C12=0,0,E12/C12)</f>
        <v>0</v>
      </c>
    </row>
    <row r="14" customFormat="false" ht="15" hidden="false" customHeight="false" outlineLevel="0" collapsed="false">
      <c r="A14" s="10" t="s">
        <v>23</v>
      </c>
    </row>
    <row r="15" customFormat="false" ht="31.5" hidden="false" customHeight="true" outlineLevel="0" collapsed="false">
      <c r="A15" s="11" t="s">
        <v>24</v>
      </c>
      <c r="B15" s="11"/>
      <c r="C15" s="11"/>
      <c r="D15" s="11"/>
      <c r="E15" s="11"/>
      <c r="F15" s="11"/>
    </row>
    <row r="16" customFormat="false" ht="31.5" hidden="false" customHeight="true" outlineLevel="0" collapsed="false">
      <c r="A16" s="11" t="s">
        <v>25</v>
      </c>
      <c r="B16" s="11"/>
      <c r="C16" s="11"/>
      <c r="D16" s="11"/>
      <c r="E16" s="11"/>
      <c r="F16" s="11"/>
    </row>
    <row r="17" customFormat="false" ht="31.5" hidden="false" customHeight="true" outlineLevel="0" collapsed="false">
      <c r="A17" s="11" t="s">
        <v>26</v>
      </c>
      <c r="B17" s="11"/>
      <c r="C17" s="11"/>
      <c r="D17" s="11"/>
      <c r="E17" s="11"/>
      <c r="F17" s="11"/>
    </row>
    <row r="18" customFormat="false" ht="31.5" hidden="false" customHeight="true" outlineLevel="0" collapsed="false">
      <c r="A18" s="11" t="s">
        <v>27</v>
      </c>
      <c r="B18" s="11"/>
      <c r="C18" s="11"/>
      <c r="D18" s="11"/>
      <c r="E18" s="11"/>
      <c r="F18" s="11"/>
    </row>
    <row r="19" customFormat="false" ht="31.5" hidden="false" customHeight="true" outlineLevel="0" collapsed="false">
      <c r="A19" s="11" t="s">
        <v>28</v>
      </c>
      <c r="B19" s="11"/>
      <c r="C19" s="11"/>
      <c r="D19" s="11"/>
      <c r="E19" s="11"/>
      <c r="F19" s="11"/>
    </row>
  </sheetData>
  <mergeCells count="5">
    <mergeCell ref="A15:F15"/>
    <mergeCell ref="A16:F16"/>
    <mergeCell ref="A17:F17"/>
    <mergeCell ref="A18:F18"/>
    <mergeCell ref="A19:F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30"/>
  </cols>
  <sheetData>
    <row r="1" customFormat="false" ht="17.35" hidden="false" customHeight="false" outlineLevel="0" collapsed="false">
      <c r="A1" s="12" t="s">
        <v>29</v>
      </c>
    </row>
    <row r="3" customFormat="false" ht="15" hidden="false" customHeight="false" outlineLevel="0" collapsed="false">
      <c r="A3" s="13" t="s">
        <v>30</v>
      </c>
      <c r="B3" s="14"/>
    </row>
    <row r="4" customFormat="false" ht="15" hidden="false" customHeight="false" outlineLevel="0" collapsed="false">
      <c r="A4" s="4" t="s">
        <v>31</v>
      </c>
      <c r="B4" s="5" t="s">
        <v>32</v>
      </c>
    </row>
    <row r="5" customFormat="false" ht="15" hidden="false" customHeight="false" outlineLevel="0" collapsed="false">
      <c r="A5" s="4" t="s">
        <v>33</v>
      </c>
      <c r="B5" s="5" t="s">
        <v>34</v>
      </c>
    </row>
    <row r="6" customFormat="false" ht="15" hidden="false" customHeight="false" outlineLevel="0" collapsed="false">
      <c r="A6" s="4" t="s">
        <v>35</v>
      </c>
      <c r="B6" s="5" t="s">
        <v>36</v>
      </c>
    </row>
    <row r="7" customFormat="false" ht="15" hidden="false" customHeight="false" outlineLevel="0" collapsed="false">
      <c r="A7" s="4" t="s">
        <v>37</v>
      </c>
      <c r="B7" s="5" t="s">
        <v>38</v>
      </c>
    </row>
    <row r="8" customFormat="false" ht="15" hidden="false" customHeight="false" outlineLevel="0" collapsed="false">
      <c r="A8" s="4" t="s">
        <v>39</v>
      </c>
      <c r="B8" s="5" t="s">
        <v>40</v>
      </c>
    </row>
    <row r="9" customFormat="false" ht="15" hidden="false" customHeight="false" outlineLevel="0" collapsed="false">
      <c r="A9" s="4" t="s">
        <v>41</v>
      </c>
      <c r="B9" s="5" t="s">
        <v>42</v>
      </c>
    </row>
    <row r="10" customFormat="false" ht="15" hidden="false" customHeight="false" outlineLevel="0" collapsed="false">
      <c r="A10" s="4" t="s">
        <v>43</v>
      </c>
      <c r="B10" s="5" t="s">
        <v>44</v>
      </c>
    </row>
    <row r="11" customFormat="false" ht="23.85" hidden="false" customHeight="false" outlineLevel="0" collapsed="false">
      <c r="A11" s="4" t="s">
        <v>45</v>
      </c>
      <c r="B11" s="5" t="s">
        <v>46</v>
      </c>
    </row>
    <row r="12" customFormat="false" ht="15" hidden="false" customHeight="false" outlineLevel="0" collapsed="false">
      <c r="A12" s="13" t="s">
        <v>47</v>
      </c>
      <c r="B12" s="14"/>
    </row>
    <row r="13" customFormat="false" ht="15" hidden="false" customHeight="false" outlineLevel="0" collapsed="false">
      <c r="A13" s="4" t="s">
        <v>31</v>
      </c>
      <c r="B13" s="5" t="s">
        <v>48</v>
      </c>
    </row>
    <row r="14" customFormat="false" ht="15" hidden="false" customHeight="false" outlineLevel="0" collapsed="false">
      <c r="A14" s="4" t="s">
        <v>49</v>
      </c>
      <c r="B14" s="5" t="s">
        <v>50</v>
      </c>
    </row>
    <row r="15" customFormat="false" ht="15" hidden="false" customHeight="false" outlineLevel="0" collapsed="false">
      <c r="A15" s="4" t="s">
        <v>51</v>
      </c>
      <c r="B15" s="5" t="s">
        <v>52</v>
      </c>
    </row>
    <row r="16" customFormat="false" ht="15" hidden="false" customHeight="false" outlineLevel="0" collapsed="false">
      <c r="A16" s="4" t="s">
        <v>43</v>
      </c>
      <c r="B16" s="5" t="s">
        <v>53</v>
      </c>
    </row>
    <row r="17" customFormat="false" ht="15" hidden="false" customHeight="false" outlineLevel="0" collapsed="false">
      <c r="A17" s="4" t="s">
        <v>54</v>
      </c>
      <c r="B17" s="5" t="s">
        <v>55</v>
      </c>
    </row>
    <row r="18" customFormat="false" ht="15" hidden="false" customHeight="false" outlineLevel="0" collapsed="false">
      <c r="A18" s="13" t="s">
        <v>56</v>
      </c>
      <c r="B18" s="14"/>
    </row>
    <row r="19" customFormat="false" ht="15" hidden="false" customHeight="false" outlineLevel="0" collapsed="false">
      <c r="A19" s="4" t="s">
        <v>49</v>
      </c>
      <c r="B19" s="5" t="s">
        <v>57</v>
      </c>
    </row>
    <row r="20" customFormat="false" ht="15" hidden="false" customHeight="false" outlineLevel="0" collapsed="false">
      <c r="A20" s="13" t="s">
        <v>58</v>
      </c>
      <c r="B20" s="14"/>
    </row>
    <row r="21" customFormat="false" ht="15" hidden="false" customHeight="false" outlineLevel="0" collapsed="false">
      <c r="A21" s="4" t="s">
        <v>59</v>
      </c>
      <c r="B21" s="5" t="s">
        <v>60</v>
      </c>
    </row>
    <row r="22" customFormat="false" ht="15" hidden="false" customHeight="false" outlineLevel="0" collapsed="false">
      <c r="A22" s="4" t="s">
        <v>61</v>
      </c>
      <c r="B22" s="5" t="s">
        <v>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1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9"/>
    <col collapsed="false" customWidth="true" hidden="false" outlineLevel="0" max="3" min="3" style="0" width="14"/>
    <col collapsed="false" customWidth="true" hidden="false" outlineLevel="0" max="5" min="4" style="0" width="16"/>
    <col collapsed="false" customWidth="true" hidden="false" outlineLevel="0" max="6" min="6" style="0" width="40"/>
    <col collapsed="false" customWidth="true" hidden="false" outlineLevel="0" max="7" min="7" style="0" width="12"/>
    <col collapsed="false" customWidth="true" hidden="false" outlineLevel="0" max="8" min="8" style="0" width="18"/>
    <col collapsed="false" customWidth="true" hidden="false" outlineLevel="0" max="9" min="9" style="0" width="60"/>
    <col collapsed="false" customWidth="true" hidden="false" outlineLevel="0" max="10" min="10" style="0" width="36"/>
    <col collapsed="false" customWidth="true" hidden="false" outlineLevel="0" max="11" min="11" style="0" width="34"/>
    <col collapsed="false" customWidth="true" hidden="false" outlineLevel="0" max="12" min="12" style="0" width="36"/>
    <col collapsed="false" customWidth="true" hidden="false" outlineLevel="0" max="13" min="13" style="0" width="12"/>
    <col collapsed="false" customWidth="true" hidden="false" outlineLevel="0" max="14" min="14" style="0" width="14"/>
    <col collapsed="false" customWidth="true" hidden="false" outlineLevel="0" max="15" min="15" style="0" width="24"/>
  </cols>
  <sheetData>
    <row r="1" customFormat="false" ht="17.35" hidden="false" customHeight="false" outlineLevel="0" collapsed="false">
      <c r="A1" s="12" t="s">
        <v>63</v>
      </c>
    </row>
    <row r="2" customFormat="false" ht="42" hidden="false" customHeight="true" outlineLevel="0" collapsed="false">
      <c r="A2" s="15" t="s">
        <v>64</v>
      </c>
      <c r="B2" s="15"/>
      <c r="C2" s="15"/>
      <c r="D2" s="15"/>
      <c r="E2" s="15"/>
      <c r="F2" s="15"/>
      <c r="G2" s="15"/>
      <c r="H2" s="15"/>
    </row>
    <row r="4" customFormat="false" ht="30" hidden="false" customHeight="true" outlineLevel="0" collapsed="false">
      <c r="A4" s="3" t="s">
        <v>65</v>
      </c>
      <c r="B4" s="3" t="s">
        <v>66</v>
      </c>
      <c r="C4" s="3" t="s">
        <v>67</v>
      </c>
      <c r="D4" s="3" t="s">
        <v>68</v>
      </c>
      <c r="E4" s="3" t="s">
        <v>69</v>
      </c>
      <c r="F4" s="3" t="s">
        <v>70</v>
      </c>
      <c r="G4" s="3" t="s">
        <v>71</v>
      </c>
      <c r="H4" s="3" t="s">
        <v>72</v>
      </c>
      <c r="I4" s="3" t="s">
        <v>73</v>
      </c>
      <c r="J4" s="3" t="s">
        <v>74</v>
      </c>
      <c r="K4" s="3" t="s">
        <v>75</v>
      </c>
      <c r="L4" s="3" t="s">
        <v>76</v>
      </c>
      <c r="M4" s="3" t="s">
        <v>77</v>
      </c>
      <c r="N4" s="3" t="s">
        <v>78</v>
      </c>
      <c r="O4" s="3" t="s">
        <v>79</v>
      </c>
    </row>
    <row r="5" customFormat="false" ht="35.05" hidden="false" customHeight="false" outlineLevel="0" collapsed="false">
      <c r="A5" s="16" t="s">
        <v>80</v>
      </c>
      <c r="B5" s="16" t="n">
        <v>3668</v>
      </c>
      <c r="C5" s="16" t="s">
        <v>81</v>
      </c>
      <c r="D5" s="16" t="s">
        <v>82</v>
      </c>
      <c r="E5" s="16" t="s">
        <v>83</v>
      </c>
      <c r="F5" s="16" t="s">
        <v>84</v>
      </c>
      <c r="G5" s="16" t="s">
        <v>85</v>
      </c>
      <c r="H5" s="16" t="s">
        <v>86</v>
      </c>
      <c r="I5" s="16" t="s">
        <v>87</v>
      </c>
      <c r="J5" s="16" t="s">
        <v>88</v>
      </c>
      <c r="K5" s="16" t="s">
        <v>89</v>
      </c>
      <c r="L5" s="16" t="s">
        <v>90</v>
      </c>
      <c r="M5" s="16" t="s">
        <v>91</v>
      </c>
      <c r="N5" s="16"/>
      <c r="O5" s="16"/>
    </row>
    <row r="6" customFormat="false" ht="35.05" hidden="false" customHeight="false" outlineLevel="0" collapsed="false">
      <c r="A6" s="16" t="s">
        <v>80</v>
      </c>
      <c r="B6" s="16" t="n">
        <v>4305</v>
      </c>
      <c r="C6" s="16" t="s">
        <v>92</v>
      </c>
      <c r="D6" s="16" t="s">
        <v>82</v>
      </c>
      <c r="E6" s="16"/>
      <c r="F6" s="16" t="s">
        <v>93</v>
      </c>
      <c r="G6" s="16" t="s">
        <v>94</v>
      </c>
      <c r="H6" s="16" t="s">
        <v>95</v>
      </c>
      <c r="I6" s="16" t="s">
        <v>96</v>
      </c>
      <c r="J6" s="16" t="s">
        <v>88</v>
      </c>
      <c r="K6" s="16" t="s">
        <v>89</v>
      </c>
      <c r="L6" s="16" t="s">
        <v>90</v>
      </c>
      <c r="M6" s="16" t="s">
        <v>91</v>
      </c>
      <c r="N6" s="16"/>
      <c r="O6" s="16"/>
    </row>
    <row r="7" customFormat="false" ht="35.05" hidden="false" customHeight="false" outlineLevel="0" collapsed="false">
      <c r="A7" s="16" t="s">
        <v>80</v>
      </c>
      <c r="B7" s="16" t="n">
        <v>3678</v>
      </c>
      <c r="C7" s="16" t="s">
        <v>97</v>
      </c>
      <c r="D7" s="16" t="s">
        <v>82</v>
      </c>
      <c r="E7" s="16" t="s">
        <v>83</v>
      </c>
      <c r="F7" s="16" t="s">
        <v>98</v>
      </c>
      <c r="G7" s="16" t="s">
        <v>94</v>
      </c>
      <c r="H7" s="16" t="s">
        <v>99</v>
      </c>
      <c r="I7" s="16" t="s">
        <v>96</v>
      </c>
      <c r="J7" s="16" t="s">
        <v>88</v>
      </c>
      <c r="K7" s="16" t="s">
        <v>89</v>
      </c>
      <c r="L7" s="16" t="s">
        <v>90</v>
      </c>
      <c r="M7" s="16" t="s">
        <v>91</v>
      </c>
      <c r="N7" s="16"/>
      <c r="O7" s="16"/>
    </row>
    <row r="8" customFormat="false" ht="35.05" hidden="false" customHeight="false" outlineLevel="0" collapsed="false">
      <c r="A8" s="16" t="s">
        <v>80</v>
      </c>
      <c r="B8" s="16" t="n">
        <v>4237</v>
      </c>
      <c r="C8" s="16" t="s">
        <v>100</v>
      </c>
      <c r="D8" s="16" t="s">
        <v>82</v>
      </c>
      <c r="E8" s="16" t="s">
        <v>83</v>
      </c>
      <c r="F8" s="16" t="s">
        <v>101</v>
      </c>
      <c r="G8" s="16" t="s">
        <v>94</v>
      </c>
      <c r="H8" s="16" t="s">
        <v>102</v>
      </c>
      <c r="I8" s="16" t="s">
        <v>96</v>
      </c>
      <c r="J8" s="16" t="s">
        <v>88</v>
      </c>
      <c r="K8" s="16" t="s">
        <v>89</v>
      </c>
      <c r="L8" s="16" t="s">
        <v>90</v>
      </c>
      <c r="M8" s="16" t="s">
        <v>91</v>
      </c>
      <c r="N8" s="16"/>
      <c r="O8" s="16"/>
    </row>
    <row r="9" customFormat="false" ht="35.05" hidden="false" customHeight="false" outlineLevel="0" collapsed="false">
      <c r="A9" s="16" t="s">
        <v>80</v>
      </c>
      <c r="B9" s="16" t="n">
        <v>3549</v>
      </c>
      <c r="C9" s="16" t="s">
        <v>103</v>
      </c>
      <c r="D9" s="16" t="s">
        <v>82</v>
      </c>
      <c r="E9" s="16" t="s">
        <v>104</v>
      </c>
      <c r="F9" s="16" t="s">
        <v>105</v>
      </c>
      <c r="G9" s="16" t="s">
        <v>85</v>
      </c>
      <c r="H9" s="16" t="s">
        <v>106</v>
      </c>
      <c r="I9" s="16" t="s">
        <v>107</v>
      </c>
      <c r="J9" s="16" t="s">
        <v>88</v>
      </c>
      <c r="K9" s="16" t="s">
        <v>89</v>
      </c>
      <c r="L9" s="16" t="s">
        <v>90</v>
      </c>
      <c r="M9" s="16" t="s">
        <v>91</v>
      </c>
      <c r="N9" s="16"/>
      <c r="O9" s="16"/>
    </row>
    <row r="10" customFormat="false" ht="35.05" hidden="false" customHeight="false" outlineLevel="0" collapsed="false">
      <c r="A10" s="16" t="s">
        <v>80</v>
      </c>
      <c r="B10" s="16" t="n">
        <v>4012</v>
      </c>
      <c r="C10" s="16" t="s">
        <v>108</v>
      </c>
      <c r="D10" s="16" t="s">
        <v>82</v>
      </c>
      <c r="E10" s="16"/>
      <c r="F10" s="16" t="s">
        <v>109</v>
      </c>
      <c r="G10" s="16" t="s">
        <v>85</v>
      </c>
      <c r="H10" s="16" t="s">
        <v>110</v>
      </c>
      <c r="I10" s="16" t="s">
        <v>87</v>
      </c>
      <c r="J10" s="16" t="s">
        <v>88</v>
      </c>
      <c r="K10" s="16" t="s">
        <v>89</v>
      </c>
      <c r="L10" s="16" t="s">
        <v>90</v>
      </c>
      <c r="M10" s="16" t="s">
        <v>91</v>
      </c>
      <c r="N10" s="16"/>
      <c r="O10" s="16"/>
    </row>
    <row r="11" customFormat="false" ht="35.05" hidden="false" customHeight="false" outlineLevel="0" collapsed="false">
      <c r="A11" s="16" t="s">
        <v>80</v>
      </c>
      <c r="B11" s="16" t="n">
        <v>3861</v>
      </c>
      <c r="C11" s="16" t="s">
        <v>111</v>
      </c>
      <c r="D11" s="16" t="s">
        <v>82</v>
      </c>
      <c r="E11" s="16"/>
      <c r="F11" s="16" t="s">
        <v>112</v>
      </c>
      <c r="G11" s="16" t="s">
        <v>85</v>
      </c>
      <c r="H11" s="16" t="s">
        <v>113</v>
      </c>
      <c r="I11" s="16" t="s">
        <v>87</v>
      </c>
      <c r="J11" s="16" t="s">
        <v>88</v>
      </c>
      <c r="K11" s="16" t="s">
        <v>89</v>
      </c>
      <c r="L11" s="16" t="s">
        <v>90</v>
      </c>
      <c r="M11" s="16" t="s">
        <v>91</v>
      </c>
      <c r="N11" s="16"/>
      <c r="O11" s="16"/>
    </row>
    <row r="12" customFormat="false" ht="35.05" hidden="false" customHeight="false" outlineLevel="0" collapsed="false">
      <c r="A12" s="16" t="s">
        <v>80</v>
      </c>
      <c r="B12" s="16" t="n">
        <v>3866</v>
      </c>
      <c r="C12" s="16" t="s">
        <v>114</v>
      </c>
      <c r="D12" s="16" t="s">
        <v>82</v>
      </c>
      <c r="E12" s="16"/>
      <c r="F12" s="16" t="s">
        <v>115</v>
      </c>
      <c r="G12" s="16" t="s">
        <v>94</v>
      </c>
      <c r="H12" s="16" t="s">
        <v>116</v>
      </c>
      <c r="I12" s="16" t="s">
        <v>96</v>
      </c>
      <c r="J12" s="16" t="s">
        <v>88</v>
      </c>
      <c r="K12" s="16" t="s">
        <v>89</v>
      </c>
      <c r="L12" s="16" t="s">
        <v>90</v>
      </c>
      <c r="M12" s="16" t="s">
        <v>91</v>
      </c>
      <c r="N12" s="16"/>
      <c r="O12" s="16"/>
    </row>
    <row r="13" customFormat="false" ht="35.05" hidden="false" customHeight="false" outlineLevel="0" collapsed="false">
      <c r="A13" s="16" t="s">
        <v>80</v>
      </c>
      <c r="B13" s="16" t="n">
        <v>3942</v>
      </c>
      <c r="C13" s="16" t="s">
        <v>117</v>
      </c>
      <c r="D13" s="16" t="s">
        <v>82</v>
      </c>
      <c r="E13" s="16"/>
      <c r="F13" s="16" t="s">
        <v>118</v>
      </c>
      <c r="G13" s="16" t="s">
        <v>119</v>
      </c>
      <c r="H13" s="16" t="s">
        <v>120</v>
      </c>
      <c r="I13" s="16" t="s">
        <v>121</v>
      </c>
      <c r="J13" s="16" t="s">
        <v>88</v>
      </c>
      <c r="K13" s="16" t="s">
        <v>89</v>
      </c>
      <c r="L13" s="16" t="s">
        <v>90</v>
      </c>
      <c r="M13" s="16" t="s">
        <v>91</v>
      </c>
      <c r="N13" s="16"/>
      <c r="O13" s="16"/>
    </row>
    <row r="14" customFormat="false" ht="35.05" hidden="false" customHeight="false" outlineLevel="0" collapsed="false">
      <c r="A14" s="16" t="s">
        <v>80</v>
      </c>
      <c r="B14" s="16" t="n">
        <v>3938</v>
      </c>
      <c r="C14" s="16" t="s">
        <v>122</v>
      </c>
      <c r="D14" s="16" t="s">
        <v>82</v>
      </c>
      <c r="E14" s="16"/>
      <c r="F14" s="16" t="s">
        <v>123</v>
      </c>
      <c r="G14" s="16" t="s">
        <v>85</v>
      </c>
      <c r="H14" s="16" t="s">
        <v>124</v>
      </c>
      <c r="I14" s="16" t="s">
        <v>107</v>
      </c>
      <c r="J14" s="16" t="s">
        <v>88</v>
      </c>
      <c r="K14" s="16" t="s">
        <v>89</v>
      </c>
      <c r="L14" s="16" t="s">
        <v>90</v>
      </c>
      <c r="M14" s="16" t="s">
        <v>91</v>
      </c>
      <c r="N14" s="16"/>
      <c r="O14" s="16"/>
    </row>
    <row r="15" customFormat="false" ht="35.05" hidden="false" customHeight="false" outlineLevel="0" collapsed="false">
      <c r="A15" s="16" t="s">
        <v>80</v>
      </c>
      <c r="B15" s="16" t="n">
        <v>3708</v>
      </c>
      <c r="C15" s="16" t="s">
        <v>125</v>
      </c>
      <c r="D15" s="16" t="s">
        <v>82</v>
      </c>
      <c r="E15" s="16" t="s">
        <v>83</v>
      </c>
      <c r="F15" s="16" t="s">
        <v>126</v>
      </c>
      <c r="G15" s="16" t="s">
        <v>127</v>
      </c>
      <c r="H15" s="16" t="s">
        <v>128</v>
      </c>
      <c r="I15" s="16" t="s">
        <v>129</v>
      </c>
      <c r="J15" s="16" t="s">
        <v>88</v>
      </c>
      <c r="K15" s="16" t="s">
        <v>89</v>
      </c>
      <c r="L15" s="16" t="s">
        <v>130</v>
      </c>
      <c r="M15" s="16" t="s">
        <v>91</v>
      </c>
      <c r="N15" s="16"/>
      <c r="O15" s="16"/>
    </row>
    <row r="16" customFormat="false" ht="35.05" hidden="false" customHeight="false" outlineLevel="0" collapsed="false">
      <c r="A16" s="16" t="s">
        <v>80</v>
      </c>
      <c r="B16" s="16" t="n">
        <v>4214</v>
      </c>
      <c r="C16" s="16" t="s">
        <v>131</v>
      </c>
      <c r="D16" s="16" t="s">
        <v>132</v>
      </c>
      <c r="E16" s="16"/>
      <c r="F16" s="16" t="s">
        <v>133</v>
      </c>
      <c r="G16" s="16" t="s">
        <v>134</v>
      </c>
      <c r="H16" s="16" t="s">
        <v>135</v>
      </c>
      <c r="I16" s="16" t="s">
        <v>136</v>
      </c>
      <c r="J16" s="16" t="s">
        <v>88</v>
      </c>
      <c r="K16" s="16" t="s">
        <v>89</v>
      </c>
      <c r="L16" s="16" t="s">
        <v>90</v>
      </c>
      <c r="M16" s="16" t="s">
        <v>91</v>
      </c>
      <c r="N16" s="16"/>
      <c r="O16" s="16"/>
    </row>
    <row r="17" customFormat="false" ht="35.05" hidden="false" customHeight="false" outlineLevel="0" collapsed="false">
      <c r="A17" s="16" t="s">
        <v>80</v>
      </c>
      <c r="B17" s="16" t="n">
        <v>3796</v>
      </c>
      <c r="C17" s="16" t="s">
        <v>137</v>
      </c>
      <c r="D17" s="16" t="s">
        <v>132</v>
      </c>
      <c r="E17" s="16"/>
      <c r="F17" s="16" t="s">
        <v>138</v>
      </c>
      <c r="G17" s="16" t="s">
        <v>119</v>
      </c>
      <c r="H17" s="16" t="s">
        <v>139</v>
      </c>
      <c r="I17" s="16" t="s">
        <v>140</v>
      </c>
      <c r="J17" s="16" t="s">
        <v>88</v>
      </c>
      <c r="K17" s="16" t="s">
        <v>89</v>
      </c>
      <c r="L17" s="16" t="s">
        <v>90</v>
      </c>
      <c r="M17" s="16" t="s">
        <v>91</v>
      </c>
      <c r="N17" s="16"/>
      <c r="O17" s="16"/>
    </row>
    <row r="18" customFormat="false" ht="35.05" hidden="false" customHeight="false" outlineLevel="0" collapsed="false">
      <c r="A18" s="16" t="s">
        <v>80</v>
      </c>
      <c r="B18" s="16" t="n">
        <v>4266</v>
      </c>
      <c r="C18" s="16" t="s">
        <v>141</v>
      </c>
      <c r="D18" s="16" t="s">
        <v>132</v>
      </c>
      <c r="E18" s="16"/>
      <c r="F18" s="16" t="s">
        <v>142</v>
      </c>
      <c r="G18" s="16" t="s">
        <v>119</v>
      </c>
      <c r="H18" s="16" t="s">
        <v>143</v>
      </c>
      <c r="I18" s="16" t="s">
        <v>140</v>
      </c>
      <c r="J18" s="16" t="s">
        <v>88</v>
      </c>
      <c r="K18" s="16" t="s">
        <v>89</v>
      </c>
      <c r="L18" s="16" t="s">
        <v>90</v>
      </c>
      <c r="M18" s="16" t="s">
        <v>91</v>
      </c>
      <c r="N18" s="16"/>
      <c r="O18" s="16"/>
    </row>
    <row r="19" customFormat="false" ht="35.05" hidden="false" customHeight="false" outlineLevel="0" collapsed="false">
      <c r="A19" s="16" t="s">
        <v>80</v>
      </c>
      <c r="B19" s="16" t="n">
        <v>4094</v>
      </c>
      <c r="C19" s="16" t="s">
        <v>131</v>
      </c>
      <c r="D19" s="16" t="s">
        <v>132</v>
      </c>
      <c r="E19" s="16"/>
      <c r="F19" s="16" t="s">
        <v>144</v>
      </c>
      <c r="G19" s="16" t="s">
        <v>119</v>
      </c>
      <c r="H19" s="16" t="s">
        <v>145</v>
      </c>
      <c r="I19" s="16" t="s">
        <v>140</v>
      </c>
      <c r="J19" s="16" t="s">
        <v>88</v>
      </c>
      <c r="K19" s="16" t="s">
        <v>89</v>
      </c>
      <c r="L19" s="16" t="s">
        <v>90</v>
      </c>
      <c r="M19" s="16" t="s">
        <v>91</v>
      </c>
      <c r="N19" s="16"/>
      <c r="O19" s="16"/>
    </row>
    <row r="20" customFormat="false" ht="35.05" hidden="false" customHeight="false" outlineLevel="0" collapsed="false">
      <c r="A20" s="16" t="s">
        <v>80</v>
      </c>
      <c r="B20" s="16" t="n">
        <v>3770</v>
      </c>
      <c r="C20" s="16" t="s">
        <v>146</v>
      </c>
      <c r="D20" s="16" t="s">
        <v>132</v>
      </c>
      <c r="E20" s="16" t="s">
        <v>147</v>
      </c>
      <c r="F20" s="16" t="s">
        <v>148</v>
      </c>
      <c r="G20" s="16" t="s">
        <v>119</v>
      </c>
      <c r="H20" s="16" t="s">
        <v>149</v>
      </c>
      <c r="I20" s="16" t="s">
        <v>140</v>
      </c>
      <c r="J20" s="16" t="s">
        <v>88</v>
      </c>
      <c r="K20" s="16" t="s">
        <v>89</v>
      </c>
      <c r="L20" s="16" t="s">
        <v>90</v>
      </c>
      <c r="M20" s="16" t="s">
        <v>91</v>
      </c>
      <c r="N20" s="16"/>
      <c r="O20" s="16"/>
    </row>
    <row r="21" customFormat="false" ht="35.05" hidden="false" customHeight="false" outlineLevel="0" collapsed="false">
      <c r="A21" s="16" t="s">
        <v>80</v>
      </c>
      <c r="B21" s="16" t="n">
        <v>3771</v>
      </c>
      <c r="C21" s="16" t="s">
        <v>150</v>
      </c>
      <c r="D21" s="16" t="s">
        <v>132</v>
      </c>
      <c r="E21" s="16" t="s">
        <v>147</v>
      </c>
      <c r="F21" s="16" t="s">
        <v>151</v>
      </c>
      <c r="G21" s="16" t="s">
        <v>119</v>
      </c>
      <c r="H21" s="16" t="s">
        <v>152</v>
      </c>
      <c r="I21" s="16" t="s">
        <v>140</v>
      </c>
      <c r="J21" s="16" t="s">
        <v>88</v>
      </c>
      <c r="K21" s="16" t="s">
        <v>89</v>
      </c>
      <c r="L21" s="16" t="s">
        <v>90</v>
      </c>
      <c r="M21" s="16" t="s">
        <v>91</v>
      </c>
      <c r="N21" s="16"/>
      <c r="O21" s="16"/>
    </row>
    <row r="22" customFormat="false" ht="35.05" hidden="false" customHeight="false" outlineLevel="0" collapsed="false">
      <c r="A22" s="16" t="s">
        <v>80</v>
      </c>
      <c r="B22" s="16" t="n">
        <v>4219</v>
      </c>
      <c r="C22" s="16" t="s">
        <v>153</v>
      </c>
      <c r="D22" s="16" t="s">
        <v>132</v>
      </c>
      <c r="E22" s="16"/>
      <c r="F22" s="16" t="s">
        <v>154</v>
      </c>
      <c r="G22" s="16" t="s">
        <v>85</v>
      </c>
      <c r="H22" s="16" t="s">
        <v>155</v>
      </c>
      <c r="I22" s="16" t="s">
        <v>156</v>
      </c>
      <c r="J22" s="16" t="s">
        <v>88</v>
      </c>
      <c r="K22" s="16" t="s">
        <v>89</v>
      </c>
      <c r="L22" s="16" t="s">
        <v>90</v>
      </c>
      <c r="M22" s="16" t="s">
        <v>91</v>
      </c>
      <c r="N22" s="16"/>
      <c r="O22" s="16"/>
    </row>
    <row r="23" customFormat="false" ht="35.05" hidden="false" customHeight="false" outlineLevel="0" collapsed="false">
      <c r="A23" s="16" t="s">
        <v>80</v>
      </c>
      <c r="B23" s="16" t="n">
        <v>3901</v>
      </c>
      <c r="C23" s="16" t="s">
        <v>157</v>
      </c>
      <c r="D23" s="16" t="s">
        <v>132</v>
      </c>
      <c r="E23" s="16"/>
      <c r="F23" s="16" t="s">
        <v>158</v>
      </c>
      <c r="G23" s="16" t="s">
        <v>119</v>
      </c>
      <c r="H23" s="16" t="s">
        <v>159</v>
      </c>
      <c r="I23" s="16" t="s">
        <v>140</v>
      </c>
      <c r="J23" s="16" t="s">
        <v>88</v>
      </c>
      <c r="K23" s="16" t="s">
        <v>89</v>
      </c>
      <c r="L23" s="16" t="s">
        <v>90</v>
      </c>
      <c r="M23" s="16" t="s">
        <v>91</v>
      </c>
      <c r="N23" s="16"/>
      <c r="O23" s="16"/>
    </row>
    <row r="24" customFormat="false" ht="35.05" hidden="false" customHeight="false" outlineLevel="0" collapsed="false">
      <c r="A24" s="16" t="s">
        <v>80</v>
      </c>
      <c r="B24" s="16" t="n">
        <v>3773</v>
      </c>
      <c r="C24" s="16" t="s">
        <v>160</v>
      </c>
      <c r="D24" s="16" t="s">
        <v>132</v>
      </c>
      <c r="E24" s="16" t="s">
        <v>147</v>
      </c>
      <c r="F24" s="16" t="s">
        <v>161</v>
      </c>
      <c r="G24" s="16" t="s">
        <v>119</v>
      </c>
      <c r="H24" s="16" t="s">
        <v>162</v>
      </c>
      <c r="I24" s="16" t="s">
        <v>140</v>
      </c>
      <c r="J24" s="16" t="s">
        <v>88</v>
      </c>
      <c r="K24" s="16" t="s">
        <v>89</v>
      </c>
      <c r="L24" s="16" t="s">
        <v>90</v>
      </c>
      <c r="M24" s="16" t="s">
        <v>91</v>
      </c>
      <c r="N24" s="16"/>
      <c r="O24" s="16"/>
    </row>
    <row r="25" customFormat="false" ht="35.05" hidden="false" customHeight="false" outlineLevel="0" collapsed="false">
      <c r="A25" s="16" t="s">
        <v>80</v>
      </c>
      <c r="B25" s="16" t="n">
        <v>4158</v>
      </c>
      <c r="C25" s="16" t="s">
        <v>153</v>
      </c>
      <c r="D25" s="16" t="s">
        <v>132</v>
      </c>
      <c r="E25" s="16"/>
      <c r="F25" s="16" t="s">
        <v>163</v>
      </c>
      <c r="G25" s="16"/>
      <c r="H25" s="16" t="s">
        <v>164</v>
      </c>
      <c r="I25" s="16" t="s">
        <v>165</v>
      </c>
      <c r="J25" s="16" t="s">
        <v>88</v>
      </c>
      <c r="K25" s="16" t="s">
        <v>89</v>
      </c>
      <c r="L25" s="16" t="s">
        <v>90</v>
      </c>
      <c r="M25" s="16" t="s">
        <v>91</v>
      </c>
      <c r="N25" s="16"/>
      <c r="O25" s="16"/>
    </row>
    <row r="26" customFormat="false" ht="35.05" hidden="false" customHeight="false" outlineLevel="0" collapsed="false">
      <c r="A26" s="16" t="s">
        <v>80</v>
      </c>
      <c r="B26" s="16" t="n">
        <v>3774</v>
      </c>
      <c r="C26" s="16" t="s">
        <v>166</v>
      </c>
      <c r="D26" s="16" t="s">
        <v>132</v>
      </c>
      <c r="E26" s="16" t="s">
        <v>147</v>
      </c>
      <c r="F26" s="16" t="s">
        <v>167</v>
      </c>
      <c r="G26" s="16" t="s">
        <v>119</v>
      </c>
      <c r="H26" s="16" t="s">
        <v>168</v>
      </c>
      <c r="I26" s="16" t="s">
        <v>140</v>
      </c>
      <c r="J26" s="16" t="s">
        <v>88</v>
      </c>
      <c r="K26" s="16" t="s">
        <v>89</v>
      </c>
      <c r="L26" s="16" t="s">
        <v>90</v>
      </c>
      <c r="M26" s="16" t="s">
        <v>91</v>
      </c>
      <c r="N26" s="16"/>
      <c r="O26" s="16"/>
    </row>
    <row r="27" customFormat="false" ht="35.05" hidden="false" customHeight="false" outlineLevel="0" collapsed="false">
      <c r="A27" s="16" t="s">
        <v>80</v>
      </c>
      <c r="B27" s="16" t="n">
        <v>3777</v>
      </c>
      <c r="C27" s="16" t="s">
        <v>169</v>
      </c>
      <c r="D27" s="16" t="s">
        <v>132</v>
      </c>
      <c r="E27" s="16" t="s">
        <v>147</v>
      </c>
      <c r="F27" s="16" t="s">
        <v>170</v>
      </c>
      <c r="G27" s="16" t="s">
        <v>171</v>
      </c>
      <c r="H27" s="16" t="s">
        <v>172</v>
      </c>
      <c r="I27" s="16" t="s">
        <v>173</v>
      </c>
      <c r="J27" s="16" t="s">
        <v>88</v>
      </c>
      <c r="K27" s="16" t="s">
        <v>89</v>
      </c>
      <c r="L27" s="16" t="s">
        <v>90</v>
      </c>
      <c r="M27" s="16" t="s">
        <v>91</v>
      </c>
      <c r="N27" s="16"/>
      <c r="O27" s="16"/>
    </row>
    <row r="28" customFormat="false" ht="35.05" hidden="false" customHeight="false" outlineLevel="0" collapsed="false">
      <c r="A28" s="16" t="s">
        <v>80</v>
      </c>
      <c r="B28" s="16" t="n">
        <v>3778</v>
      </c>
      <c r="C28" s="16" t="s">
        <v>174</v>
      </c>
      <c r="D28" s="16" t="s">
        <v>132</v>
      </c>
      <c r="E28" s="16" t="s">
        <v>147</v>
      </c>
      <c r="F28" s="16" t="s">
        <v>175</v>
      </c>
      <c r="G28" s="16" t="s">
        <v>119</v>
      </c>
      <c r="H28" s="16" t="s">
        <v>176</v>
      </c>
      <c r="I28" s="16" t="s">
        <v>140</v>
      </c>
      <c r="J28" s="16" t="s">
        <v>88</v>
      </c>
      <c r="K28" s="16" t="s">
        <v>89</v>
      </c>
      <c r="L28" s="16" t="s">
        <v>90</v>
      </c>
      <c r="M28" s="16" t="s">
        <v>91</v>
      </c>
      <c r="N28" s="16"/>
      <c r="O28" s="16"/>
    </row>
    <row r="29" customFormat="false" ht="35.05" hidden="false" customHeight="false" outlineLevel="0" collapsed="false">
      <c r="A29" s="16" t="s">
        <v>80</v>
      </c>
      <c r="B29" s="16" t="n">
        <v>4277</v>
      </c>
      <c r="C29" s="16" t="s">
        <v>177</v>
      </c>
      <c r="D29" s="16" t="s">
        <v>178</v>
      </c>
      <c r="E29" s="16"/>
      <c r="F29" s="16" t="s">
        <v>179</v>
      </c>
      <c r="G29" s="16" t="s">
        <v>180</v>
      </c>
      <c r="H29" s="16" t="s">
        <v>181</v>
      </c>
      <c r="I29" s="16" t="s">
        <v>182</v>
      </c>
      <c r="J29" s="16" t="s">
        <v>88</v>
      </c>
      <c r="K29" s="16" t="s">
        <v>89</v>
      </c>
      <c r="L29" s="16" t="s">
        <v>90</v>
      </c>
      <c r="M29" s="16" t="s">
        <v>91</v>
      </c>
      <c r="N29" s="16"/>
      <c r="O29" s="16"/>
    </row>
    <row r="30" customFormat="false" ht="35.05" hidden="false" customHeight="false" outlineLevel="0" collapsed="false">
      <c r="A30" s="16" t="s">
        <v>80</v>
      </c>
      <c r="B30" s="16" t="n">
        <v>4213</v>
      </c>
      <c r="C30" s="16" t="s">
        <v>183</v>
      </c>
      <c r="D30" s="16" t="s">
        <v>178</v>
      </c>
      <c r="E30" s="16"/>
      <c r="F30" s="16" t="s">
        <v>184</v>
      </c>
      <c r="G30" s="16"/>
      <c r="H30" s="16" t="s">
        <v>185</v>
      </c>
      <c r="I30" s="16" t="s">
        <v>186</v>
      </c>
      <c r="J30" s="16" t="s">
        <v>88</v>
      </c>
      <c r="K30" s="16" t="s">
        <v>89</v>
      </c>
      <c r="L30" s="16" t="s">
        <v>90</v>
      </c>
      <c r="M30" s="16" t="s">
        <v>91</v>
      </c>
      <c r="N30" s="16"/>
      <c r="O30" s="16"/>
    </row>
    <row r="31" customFormat="false" ht="35.05" hidden="false" customHeight="false" outlineLevel="0" collapsed="false">
      <c r="A31" s="16" t="s">
        <v>80</v>
      </c>
      <c r="B31" s="16" t="n">
        <v>3726</v>
      </c>
      <c r="C31" s="16" t="s">
        <v>187</v>
      </c>
      <c r="D31" s="16" t="s">
        <v>178</v>
      </c>
      <c r="E31" s="16" t="s">
        <v>188</v>
      </c>
      <c r="F31" s="16" t="s">
        <v>189</v>
      </c>
      <c r="G31" s="16" t="s">
        <v>190</v>
      </c>
      <c r="H31" s="16" t="s">
        <v>191</v>
      </c>
      <c r="I31" s="16" t="s">
        <v>192</v>
      </c>
      <c r="J31" s="16" t="s">
        <v>88</v>
      </c>
      <c r="K31" s="16" t="s">
        <v>89</v>
      </c>
      <c r="L31" s="16" t="s">
        <v>130</v>
      </c>
      <c r="M31" s="16" t="s">
        <v>91</v>
      </c>
      <c r="N31" s="16"/>
      <c r="O31" s="16"/>
    </row>
    <row r="32" customFormat="false" ht="35.05" hidden="false" customHeight="false" outlineLevel="0" collapsed="false">
      <c r="A32" s="16" t="s">
        <v>80</v>
      </c>
      <c r="B32" s="16" t="n">
        <v>3732</v>
      </c>
      <c r="C32" s="16" t="s">
        <v>193</v>
      </c>
      <c r="D32" s="16" t="s">
        <v>178</v>
      </c>
      <c r="E32" s="16"/>
      <c r="F32" s="16" t="s">
        <v>194</v>
      </c>
      <c r="G32" s="16" t="s">
        <v>195</v>
      </c>
      <c r="H32" s="16" t="s">
        <v>196</v>
      </c>
      <c r="I32" s="16" t="s">
        <v>197</v>
      </c>
      <c r="J32" s="16" t="s">
        <v>88</v>
      </c>
      <c r="K32" s="16" t="s">
        <v>89</v>
      </c>
      <c r="L32" s="16" t="s">
        <v>90</v>
      </c>
      <c r="M32" s="16" t="s">
        <v>91</v>
      </c>
      <c r="N32" s="16"/>
      <c r="O32" s="16"/>
    </row>
    <row r="33" customFormat="false" ht="35.05" hidden="false" customHeight="false" outlineLevel="0" collapsed="false">
      <c r="A33" s="16" t="s">
        <v>80</v>
      </c>
      <c r="B33" s="16" t="n">
        <v>3747</v>
      </c>
      <c r="C33" s="16" t="s">
        <v>198</v>
      </c>
      <c r="D33" s="16" t="s">
        <v>178</v>
      </c>
      <c r="E33" s="16" t="s">
        <v>199</v>
      </c>
      <c r="F33" s="16" t="s">
        <v>200</v>
      </c>
      <c r="G33" s="16"/>
      <c r="H33" s="16" t="s">
        <v>201</v>
      </c>
      <c r="I33" s="16" t="s">
        <v>202</v>
      </c>
      <c r="J33" s="16" t="s">
        <v>88</v>
      </c>
      <c r="K33" s="16" t="s">
        <v>89</v>
      </c>
      <c r="L33" s="16" t="s">
        <v>130</v>
      </c>
      <c r="M33" s="16" t="s">
        <v>91</v>
      </c>
      <c r="N33" s="16"/>
      <c r="O33" s="16"/>
    </row>
    <row r="34" customFormat="false" ht="35.05" hidden="false" customHeight="false" outlineLevel="0" collapsed="false">
      <c r="A34" s="16" t="s">
        <v>80</v>
      </c>
      <c r="B34" s="16" t="n">
        <v>4311</v>
      </c>
      <c r="C34" s="16" t="s">
        <v>203</v>
      </c>
      <c r="D34" s="16" t="s">
        <v>178</v>
      </c>
      <c r="E34" s="16"/>
      <c r="F34" s="16" t="s">
        <v>204</v>
      </c>
      <c r="G34" s="16"/>
      <c r="H34" s="16" t="s">
        <v>205</v>
      </c>
      <c r="I34" s="16" t="s">
        <v>202</v>
      </c>
      <c r="J34" s="16" t="s">
        <v>88</v>
      </c>
      <c r="K34" s="16" t="s">
        <v>89</v>
      </c>
      <c r="L34" s="16" t="s">
        <v>130</v>
      </c>
      <c r="M34" s="16" t="s">
        <v>91</v>
      </c>
      <c r="N34" s="16"/>
      <c r="O34" s="16"/>
    </row>
    <row r="35" customFormat="false" ht="35.05" hidden="false" customHeight="false" outlineLevel="0" collapsed="false">
      <c r="A35" s="16" t="s">
        <v>80</v>
      </c>
      <c r="B35" s="16" t="n">
        <v>3576</v>
      </c>
      <c r="C35" s="16" t="s">
        <v>206</v>
      </c>
      <c r="D35" s="16" t="s">
        <v>207</v>
      </c>
      <c r="E35" s="16"/>
      <c r="F35" s="16" t="s">
        <v>208</v>
      </c>
      <c r="G35" s="16"/>
      <c r="H35" s="16" t="s">
        <v>209</v>
      </c>
      <c r="I35" s="16" t="s">
        <v>210</v>
      </c>
      <c r="J35" s="16" t="s">
        <v>88</v>
      </c>
      <c r="K35" s="16" t="s">
        <v>89</v>
      </c>
      <c r="L35" s="16" t="s">
        <v>90</v>
      </c>
      <c r="M35" s="16" t="s">
        <v>91</v>
      </c>
      <c r="N35" s="16"/>
      <c r="O35" s="16"/>
    </row>
    <row r="36" customFormat="false" ht="35.05" hidden="false" customHeight="false" outlineLevel="0" collapsed="false">
      <c r="A36" s="16" t="s">
        <v>80</v>
      </c>
      <c r="B36" s="16" t="n">
        <v>3990</v>
      </c>
      <c r="C36" s="16" t="s">
        <v>211</v>
      </c>
      <c r="D36" s="16" t="s">
        <v>207</v>
      </c>
      <c r="E36" s="16"/>
      <c r="F36" s="16" t="s">
        <v>212</v>
      </c>
      <c r="G36" s="16" t="s">
        <v>213</v>
      </c>
      <c r="H36" s="16" t="s">
        <v>214</v>
      </c>
      <c r="I36" s="16" t="s">
        <v>210</v>
      </c>
      <c r="J36" s="16" t="s">
        <v>88</v>
      </c>
      <c r="K36" s="16" t="s">
        <v>89</v>
      </c>
      <c r="L36" s="16" t="s">
        <v>90</v>
      </c>
      <c r="M36" s="16" t="s">
        <v>91</v>
      </c>
      <c r="N36" s="16"/>
      <c r="O36" s="16"/>
    </row>
    <row r="37" customFormat="false" ht="35.05" hidden="false" customHeight="false" outlineLevel="0" collapsed="false">
      <c r="A37" s="16" t="s">
        <v>80</v>
      </c>
      <c r="B37" s="16" t="n">
        <v>3992</v>
      </c>
      <c r="C37" s="16" t="s">
        <v>215</v>
      </c>
      <c r="D37" s="16" t="s">
        <v>207</v>
      </c>
      <c r="E37" s="16"/>
      <c r="F37" s="16" t="s">
        <v>216</v>
      </c>
      <c r="G37" s="16"/>
      <c r="H37" s="16" t="s">
        <v>217</v>
      </c>
      <c r="I37" s="16" t="s">
        <v>210</v>
      </c>
      <c r="J37" s="16" t="s">
        <v>88</v>
      </c>
      <c r="K37" s="16" t="s">
        <v>89</v>
      </c>
      <c r="L37" s="16" t="s">
        <v>90</v>
      </c>
      <c r="M37" s="16" t="s">
        <v>91</v>
      </c>
      <c r="N37" s="16"/>
      <c r="O37" s="16"/>
    </row>
    <row r="38" customFormat="false" ht="35.05" hidden="false" customHeight="false" outlineLevel="0" collapsed="false">
      <c r="A38" s="16" t="s">
        <v>80</v>
      </c>
      <c r="B38" s="16" t="n">
        <v>3603</v>
      </c>
      <c r="C38" s="16" t="s">
        <v>218</v>
      </c>
      <c r="D38" s="16" t="s">
        <v>207</v>
      </c>
      <c r="E38" s="16"/>
      <c r="F38" s="16" t="s">
        <v>219</v>
      </c>
      <c r="G38" s="16"/>
      <c r="H38" s="16" t="s">
        <v>220</v>
      </c>
      <c r="I38" s="16" t="s">
        <v>210</v>
      </c>
      <c r="J38" s="16" t="s">
        <v>88</v>
      </c>
      <c r="K38" s="16" t="s">
        <v>89</v>
      </c>
      <c r="L38" s="16" t="s">
        <v>90</v>
      </c>
      <c r="M38" s="16" t="s">
        <v>91</v>
      </c>
      <c r="N38" s="16"/>
      <c r="O38" s="16"/>
    </row>
    <row r="39" customFormat="false" ht="35.05" hidden="false" customHeight="false" outlineLevel="0" collapsed="false">
      <c r="A39" s="16" t="s">
        <v>80</v>
      </c>
      <c r="B39" s="16" t="n">
        <v>3604</v>
      </c>
      <c r="C39" s="16" t="s">
        <v>221</v>
      </c>
      <c r="D39" s="16" t="s">
        <v>207</v>
      </c>
      <c r="E39" s="16"/>
      <c r="F39" s="16" t="s">
        <v>222</v>
      </c>
      <c r="G39" s="16"/>
      <c r="H39" s="16" t="s">
        <v>223</v>
      </c>
      <c r="I39" s="16" t="s">
        <v>210</v>
      </c>
      <c r="J39" s="16" t="s">
        <v>88</v>
      </c>
      <c r="K39" s="16" t="s">
        <v>89</v>
      </c>
      <c r="L39" s="16" t="s">
        <v>90</v>
      </c>
      <c r="M39" s="16" t="s">
        <v>91</v>
      </c>
      <c r="N39" s="16"/>
      <c r="O39" s="16"/>
    </row>
    <row r="40" customFormat="false" ht="35.05" hidden="false" customHeight="false" outlineLevel="0" collapsed="false">
      <c r="A40" s="16" t="s">
        <v>80</v>
      </c>
      <c r="B40" s="16" t="n">
        <v>3991</v>
      </c>
      <c r="C40" s="16" t="s">
        <v>224</v>
      </c>
      <c r="D40" s="16" t="s">
        <v>207</v>
      </c>
      <c r="E40" s="16"/>
      <c r="F40" s="16" t="s">
        <v>225</v>
      </c>
      <c r="G40" s="16"/>
      <c r="H40" s="16" t="s">
        <v>226</v>
      </c>
      <c r="I40" s="16" t="s">
        <v>210</v>
      </c>
      <c r="J40" s="16" t="s">
        <v>88</v>
      </c>
      <c r="K40" s="16" t="s">
        <v>89</v>
      </c>
      <c r="L40" s="16" t="s">
        <v>90</v>
      </c>
      <c r="M40" s="16" t="s">
        <v>91</v>
      </c>
      <c r="N40" s="16"/>
      <c r="O40" s="16"/>
    </row>
    <row r="41" customFormat="false" ht="35.05" hidden="false" customHeight="false" outlineLevel="0" collapsed="false">
      <c r="A41" s="16" t="s">
        <v>80</v>
      </c>
      <c r="B41" s="16" t="n">
        <v>4144</v>
      </c>
      <c r="C41" s="16" t="s">
        <v>227</v>
      </c>
      <c r="D41" s="16" t="s">
        <v>207</v>
      </c>
      <c r="E41" s="16"/>
      <c r="F41" s="16" t="s">
        <v>228</v>
      </c>
      <c r="G41" s="16"/>
      <c r="H41" s="16" t="s">
        <v>229</v>
      </c>
      <c r="I41" s="16" t="s">
        <v>210</v>
      </c>
      <c r="J41" s="16" t="s">
        <v>88</v>
      </c>
      <c r="K41" s="16" t="s">
        <v>89</v>
      </c>
      <c r="L41" s="16" t="s">
        <v>90</v>
      </c>
      <c r="M41" s="16" t="s">
        <v>91</v>
      </c>
      <c r="N41" s="16"/>
      <c r="O41" s="16"/>
    </row>
    <row r="42" customFormat="false" ht="35.05" hidden="false" customHeight="false" outlineLevel="0" collapsed="false">
      <c r="A42" s="16" t="s">
        <v>80</v>
      </c>
      <c r="B42" s="16" t="n">
        <v>3609</v>
      </c>
      <c r="C42" s="16" t="s">
        <v>230</v>
      </c>
      <c r="D42" s="16" t="s">
        <v>207</v>
      </c>
      <c r="E42" s="16"/>
      <c r="F42" s="16" t="s">
        <v>231</v>
      </c>
      <c r="G42" s="16"/>
      <c r="H42" s="16" t="s">
        <v>232</v>
      </c>
      <c r="I42" s="16" t="s">
        <v>210</v>
      </c>
      <c r="J42" s="16" t="s">
        <v>88</v>
      </c>
      <c r="K42" s="16" t="s">
        <v>89</v>
      </c>
      <c r="L42" s="16" t="s">
        <v>90</v>
      </c>
      <c r="M42" s="16" t="s">
        <v>91</v>
      </c>
      <c r="N42" s="16"/>
      <c r="O42" s="16"/>
    </row>
    <row r="43" customFormat="false" ht="35.05" hidden="false" customHeight="false" outlineLevel="0" collapsed="false">
      <c r="A43" s="16" t="s">
        <v>80</v>
      </c>
      <c r="B43" s="16" t="n">
        <v>3608</v>
      </c>
      <c r="C43" s="16" t="s">
        <v>233</v>
      </c>
      <c r="D43" s="16" t="s">
        <v>207</v>
      </c>
      <c r="E43" s="16"/>
      <c r="F43" s="16" t="s">
        <v>234</v>
      </c>
      <c r="G43" s="16"/>
      <c r="H43" s="16" t="s">
        <v>235</v>
      </c>
      <c r="I43" s="16" t="s">
        <v>210</v>
      </c>
      <c r="J43" s="16" t="s">
        <v>88</v>
      </c>
      <c r="K43" s="16" t="s">
        <v>89</v>
      </c>
      <c r="L43" s="16" t="s">
        <v>90</v>
      </c>
      <c r="M43" s="16" t="s">
        <v>91</v>
      </c>
      <c r="N43" s="16"/>
      <c r="O43" s="16"/>
    </row>
    <row r="44" customFormat="false" ht="35.05" hidden="false" customHeight="false" outlineLevel="0" collapsed="false">
      <c r="A44" s="16" t="s">
        <v>80</v>
      </c>
      <c r="B44" s="16" t="n">
        <v>3943</v>
      </c>
      <c r="C44" s="16" t="s">
        <v>236</v>
      </c>
      <c r="D44" s="16" t="s">
        <v>237</v>
      </c>
      <c r="E44" s="16" t="s">
        <v>238</v>
      </c>
      <c r="F44" s="16" t="s">
        <v>239</v>
      </c>
      <c r="G44" s="16"/>
      <c r="H44" s="16" t="s">
        <v>240</v>
      </c>
      <c r="I44" s="16" t="s">
        <v>241</v>
      </c>
      <c r="J44" s="16" t="s">
        <v>88</v>
      </c>
      <c r="K44" s="16" t="s">
        <v>89</v>
      </c>
      <c r="L44" s="16" t="s">
        <v>90</v>
      </c>
      <c r="M44" s="16" t="s">
        <v>91</v>
      </c>
      <c r="N44" s="16"/>
      <c r="O44" s="16"/>
    </row>
    <row r="45" customFormat="false" ht="35.05" hidden="false" customHeight="false" outlineLevel="0" collapsed="false">
      <c r="A45" s="16" t="s">
        <v>80</v>
      </c>
      <c r="B45" s="16" t="n">
        <v>4145</v>
      </c>
      <c r="C45" s="16" t="s">
        <v>242</v>
      </c>
      <c r="D45" s="16" t="s">
        <v>237</v>
      </c>
      <c r="E45" s="16"/>
      <c r="F45" s="16" t="s">
        <v>243</v>
      </c>
      <c r="G45" s="16" t="s">
        <v>244</v>
      </c>
      <c r="H45" s="16" t="s">
        <v>245</v>
      </c>
      <c r="I45" s="16" t="s">
        <v>246</v>
      </c>
      <c r="J45" s="16" t="s">
        <v>88</v>
      </c>
      <c r="K45" s="16" t="s">
        <v>89</v>
      </c>
      <c r="L45" s="16" t="s">
        <v>90</v>
      </c>
      <c r="M45" s="16" t="s">
        <v>91</v>
      </c>
      <c r="N45" s="16"/>
      <c r="O45" s="16"/>
    </row>
    <row r="46" customFormat="false" ht="35.05" hidden="false" customHeight="false" outlineLevel="0" collapsed="false">
      <c r="A46" s="16" t="s">
        <v>80</v>
      </c>
      <c r="B46" s="16" t="n">
        <v>3922</v>
      </c>
      <c r="C46" s="16" t="s">
        <v>247</v>
      </c>
      <c r="D46" s="16" t="s">
        <v>237</v>
      </c>
      <c r="E46" s="16"/>
      <c r="F46" s="16" t="s">
        <v>248</v>
      </c>
      <c r="G46" s="16"/>
      <c r="H46" s="16" t="s">
        <v>249</v>
      </c>
      <c r="I46" s="16" t="s">
        <v>241</v>
      </c>
      <c r="J46" s="16" t="s">
        <v>88</v>
      </c>
      <c r="K46" s="16" t="s">
        <v>89</v>
      </c>
      <c r="L46" s="16" t="s">
        <v>90</v>
      </c>
      <c r="M46" s="16" t="s">
        <v>91</v>
      </c>
      <c r="N46" s="16"/>
      <c r="O46" s="16"/>
    </row>
    <row r="47" customFormat="false" ht="35.05" hidden="false" customHeight="false" outlineLevel="0" collapsed="false">
      <c r="A47" s="16" t="s">
        <v>80</v>
      </c>
      <c r="B47" s="16" t="n">
        <v>4230</v>
      </c>
      <c r="C47" s="16" t="s">
        <v>250</v>
      </c>
      <c r="D47" s="16" t="s">
        <v>237</v>
      </c>
      <c r="E47" s="16"/>
      <c r="F47" s="16" t="s">
        <v>251</v>
      </c>
      <c r="G47" s="16" t="s">
        <v>252</v>
      </c>
      <c r="H47" s="16" t="s">
        <v>253</v>
      </c>
      <c r="I47" s="16" t="s">
        <v>254</v>
      </c>
      <c r="J47" s="16" t="s">
        <v>88</v>
      </c>
      <c r="K47" s="16" t="s">
        <v>89</v>
      </c>
      <c r="L47" s="16" t="s">
        <v>90</v>
      </c>
      <c r="M47" s="16" t="s">
        <v>91</v>
      </c>
      <c r="N47" s="16"/>
      <c r="O47" s="16"/>
    </row>
    <row r="48" customFormat="false" ht="35.05" hidden="false" customHeight="false" outlineLevel="0" collapsed="false">
      <c r="A48" s="16" t="s">
        <v>80</v>
      </c>
      <c r="B48" s="16" t="n">
        <v>4128</v>
      </c>
      <c r="C48" s="16" t="s">
        <v>255</v>
      </c>
      <c r="D48" s="16" t="s">
        <v>237</v>
      </c>
      <c r="E48" s="16"/>
      <c r="F48" s="16" t="s">
        <v>256</v>
      </c>
      <c r="G48" s="16" t="s">
        <v>190</v>
      </c>
      <c r="H48" s="16" t="s">
        <v>257</v>
      </c>
      <c r="I48" s="16" t="s">
        <v>258</v>
      </c>
      <c r="J48" s="16" t="s">
        <v>88</v>
      </c>
      <c r="K48" s="16" t="s">
        <v>89</v>
      </c>
      <c r="L48" s="16" t="s">
        <v>90</v>
      </c>
      <c r="M48" s="16" t="s">
        <v>91</v>
      </c>
      <c r="N48" s="16"/>
      <c r="O48" s="16"/>
    </row>
    <row r="49" customFormat="false" ht="35.05" hidden="false" customHeight="false" outlineLevel="0" collapsed="false">
      <c r="A49" s="16" t="s">
        <v>80</v>
      </c>
      <c r="B49" s="16" t="n">
        <v>4251</v>
      </c>
      <c r="C49" s="16" t="s">
        <v>259</v>
      </c>
      <c r="D49" s="16" t="s">
        <v>237</v>
      </c>
      <c r="E49" s="16"/>
      <c r="F49" s="16" t="s">
        <v>260</v>
      </c>
      <c r="G49" s="16" t="s">
        <v>190</v>
      </c>
      <c r="H49" s="16" t="s">
        <v>261</v>
      </c>
      <c r="I49" s="16" t="s">
        <v>258</v>
      </c>
      <c r="J49" s="16" t="s">
        <v>88</v>
      </c>
      <c r="K49" s="16" t="s">
        <v>89</v>
      </c>
      <c r="L49" s="16" t="s">
        <v>90</v>
      </c>
      <c r="M49" s="16" t="s">
        <v>91</v>
      </c>
      <c r="N49" s="16"/>
      <c r="O49" s="16"/>
    </row>
    <row r="50" customFormat="false" ht="35.05" hidden="false" customHeight="false" outlineLevel="0" collapsed="false">
      <c r="A50" s="16" t="s">
        <v>80</v>
      </c>
      <c r="B50" s="16" t="n">
        <v>4186</v>
      </c>
      <c r="C50" s="16" t="s">
        <v>262</v>
      </c>
      <c r="D50" s="16" t="s">
        <v>237</v>
      </c>
      <c r="E50" s="16" t="s">
        <v>263</v>
      </c>
      <c r="F50" s="16" t="s">
        <v>264</v>
      </c>
      <c r="G50" s="16"/>
      <c r="H50" s="16" t="s">
        <v>265</v>
      </c>
      <c r="I50" s="16" t="s">
        <v>241</v>
      </c>
      <c r="J50" s="16" t="s">
        <v>88</v>
      </c>
      <c r="K50" s="16" t="s">
        <v>89</v>
      </c>
      <c r="L50" s="16" t="s">
        <v>90</v>
      </c>
      <c r="M50" s="16" t="s">
        <v>91</v>
      </c>
      <c r="N50" s="16"/>
      <c r="O50" s="16"/>
    </row>
    <row r="51" customFormat="false" ht="35.05" hidden="false" customHeight="false" outlineLevel="0" collapsed="false">
      <c r="A51" s="16" t="s">
        <v>80</v>
      </c>
      <c r="B51" s="16" t="n">
        <v>3829</v>
      </c>
      <c r="C51" s="16" t="s">
        <v>266</v>
      </c>
      <c r="D51" s="16" t="s">
        <v>267</v>
      </c>
      <c r="E51" s="16" t="s">
        <v>268</v>
      </c>
      <c r="F51" s="16" t="s">
        <v>269</v>
      </c>
      <c r="G51" s="16"/>
      <c r="H51" s="16" t="s">
        <v>270</v>
      </c>
      <c r="I51" s="16" t="s">
        <v>271</v>
      </c>
      <c r="J51" s="16" t="s">
        <v>88</v>
      </c>
      <c r="K51" s="16" t="s">
        <v>89</v>
      </c>
      <c r="L51" s="16" t="s">
        <v>90</v>
      </c>
      <c r="M51" s="16" t="s">
        <v>91</v>
      </c>
      <c r="N51" s="16"/>
      <c r="O51" s="16"/>
    </row>
    <row r="52" customFormat="false" ht="35.05" hidden="false" customHeight="false" outlineLevel="0" collapsed="false">
      <c r="A52" s="16" t="s">
        <v>80</v>
      </c>
      <c r="B52" s="16" t="n">
        <v>3940</v>
      </c>
      <c r="C52" s="16" t="s">
        <v>272</v>
      </c>
      <c r="D52" s="16" t="s">
        <v>267</v>
      </c>
      <c r="E52" s="16" t="s">
        <v>268</v>
      </c>
      <c r="F52" s="16" t="s">
        <v>273</v>
      </c>
      <c r="G52" s="16" t="s">
        <v>274</v>
      </c>
      <c r="H52" s="16" t="s">
        <v>275</v>
      </c>
      <c r="I52" s="16" t="s">
        <v>276</v>
      </c>
      <c r="J52" s="16" t="s">
        <v>88</v>
      </c>
      <c r="K52" s="16" t="s">
        <v>89</v>
      </c>
      <c r="L52" s="16" t="s">
        <v>130</v>
      </c>
      <c r="M52" s="16" t="s">
        <v>91</v>
      </c>
      <c r="N52" s="16"/>
      <c r="O52" s="16"/>
    </row>
    <row r="53" customFormat="false" ht="35.05" hidden="false" customHeight="false" outlineLevel="0" collapsed="false">
      <c r="A53" s="16" t="s">
        <v>80</v>
      </c>
      <c r="B53" s="16" t="n">
        <v>3543</v>
      </c>
      <c r="C53" s="16" t="s">
        <v>277</v>
      </c>
      <c r="D53" s="16" t="s">
        <v>267</v>
      </c>
      <c r="E53" s="16" t="s">
        <v>268</v>
      </c>
      <c r="F53" s="16" t="s">
        <v>278</v>
      </c>
      <c r="G53" s="16" t="s">
        <v>274</v>
      </c>
      <c r="H53" s="16" t="s">
        <v>279</v>
      </c>
      <c r="I53" s="16" t="s">
        <v>276</v>
      </c>
      <c r="J53" s="16" t="s">
        <v>88</v>
      </c>
      <c r="K53" s="16" t="s">
        <v>89</v>
      </c>
      <c r="L53" s="16" t="s">
        <v>130</v>
      </c>
      <c r="M53" s="16" t="s">
        <v>91</v>
      </c>
      <c r="N53" s="16"/>
      <c r="O53" s="16"/>
    </row>
    <row r="54" customFormat="false" ht="35.05" hidden="false" customHeight="false" outlineLevel="0" collapsed="false">
      <c r="A54" s="16" t="s">
        <v>80</v>
      </c>
      <c r="B54" s="16" t="n">
        <v>3583</v>
      </c>
      <c r="C54" s="16" t="s">
        <v>280</v>
      </c>
      <c r="D54" s="16" t="s">
        <v>267</v>
      </c>
      <c r="E54" s="16" t="s">
        <v>268</v>
      </c>
      <c r="F54" s="16" t="s">
        <v>281</v>
      </c>
      <c r="G54" s="16" t="s">
        <v>274</v>
      </c>
      <c r="H54" s="16" t="s">
        <v>282</v>
      </c>
      <c r="I54" s="16" t="s">
        <v>276</v>
      </c>
      <c r="J54" s="16" t="s">
        <v>88</v>
      </c>
      <c r="K54" s="16" t="s">
        <v>89</v>
      </c>
      <c r="L54" s="16" t="s">
        <v>130</v>
      </c>
      <c r="M54" s="16" t="s">
        <v>91</v>
      </c>
      <c r="N54" s="16"/>
      <c r="O54" s="16"/>
    </row>
    <row r="55" customFormat="false" ht="35.05" hidden="false" customHeight="false" outlineLevel="0" collapsed="false">
      <c r="A55" s="16" t="s">
        <v>80</v>
      </c>
      <c r="B55" s="16" t="n">
        <v>4175</v>
      </c>
      <c r="C55" s="16" t="s">
        <v>283</v>
      </c>
      <c r="D55" s="16" t="s">
        <v>267</v>
      </c>
      <c r="E55" s="16" t="s">
        <v>268</v>
      </c>
      <c r="F55" s="16" t="s">
        <v>284</v>
      </c>
      <c r="G55" s="16" t="s">
        <v>285</v>
      </c>
      <c r="H55" s="16" t="s">
        <v>286</v>
      </c>
      <c r="I55" s="16" t="s">
        <v>287</v>
      </c>
      <c r="J55" s="16" t="s">
        <v>88</v>
      </c>
      <c r="K55" s="16" t="s">
        <v>89</v>
      </c>
      <c r="L55" s="16" t="s">
        <v>90</v>
      </c>
      <c r="M55" s="16" t="s">
        <v>91</v>
      </c>
      <c r="N55" s="16"/>
      <c r="O55" s="16"/>
    </row>
    <row r="56" customFormat="false" ht="35.05" hidden="false" customHeight="false" outlineLevel="0" collapsed="false">
      <c r="A56" s="16" t="s">
        <v>80</v>
      </c>
      <c r="B56" s="16" t="n">
        <v>3588</v>
      </c>
      <c r="C56" s="16" t="s">
        <v>288</v>
      </c>
      <c r="D56" s="16" t="s">
        <v>267</v>
      </c>
      <c r="E56" s="16" t="s">
        <v>268</v>
      </c>
      <c r="F56" s="16" t="s">
        <v>289</v>
      </c>
      <c r="G56" s="16" t="s">
        <v>285</v>
      </c>
      <c r="H56" s="16" t="s">
        <v>290</v>
      </c>
      <c r="I56" s="16" t="s">
        <v>287</v>
      </c>
      <c r="J56" s="16" t="s">
        <v>88</v>
      </c>
      <c r="K56" s="16" t="s">
        <v>89</v>
      </c>
      <c r="L56" s="16" t="s">
        <v>90</v>
      </c>
      <c r="M56" s="16" t="s">
        <v>91</v>
      </c>
      <c r="N56" s="16"/>
      <c r="O56" s="16"/>
    </row>
    <row r="57" customFormat="false" ht="35.05" hidden="false" customHeight="false" outlineLevel="0" collapsed="false">
      <c r="A57" s="16" t="s">
        <v>80</v>
      </c>
      <c r="B57" s="16" t="n">
        <v>4324</v>
      </c>
      <c r="C57" s="16" t="s">
        <v>291</v>
      </c>
      <c r="D57" s="16" t="s">
        <v>267</v>
      </c>
      <c r="E57" s="16" t="s">
        <v>268</v>
      </c>
      <c r="F57" s="16" t="s">
        <v>292</v>
      </c>
      <c r="G57" s="16" t="s">
        <v>293</v>
      </c>
      <c r="H57" s="16" t="s">
        <v>294</v>
      </c>
      <c r="I57" s="16" t="s">
        <v>295</v>
      </c>
      <c r="J57" s="16" t="s">
        <v>88</v>
      </c>
      <c r="K57" s="16" t="s">
        <v>89</v>
      </c>
      <c r="L57" s="16" t="s">
        <v>90</v>
      </c>
      <c r="M57" s="16" t="s">
        <v>91</v>
      </c>
      <c r="N57" s="16"/>
      <c r="O57" s="16"/>
    </row>
    <row r="58" customFormat="false" ht="35.05" hidden="false" customHeight="false" outlineLevel="0" collapsed="false">
      <c r="A58" s="16" t="s">
        <v>80</v>
      </c>
      <c r="B58" s="16" t="n">
        <v>3830</v>
      </c>
      <c r="C58" s="16" t="s">
        <v>296</v>
      </c>
      <c r="D58" s="16" t="s">
        <v>267</v>
      </c>
      <c r="E58" s="16" t="s">
        <v>297</v>
      </c>
      <c r="F58" s="16" t="s">
        <v>298</v>
      </c>
      <c r="G58" s="16" t="s">
        <v>190</v>
      </c>
      <c r="H58" s="16" t="s">
        <v>299</v>
      </c>
      <c r="I58" s="16" t="s">
        <v>300</v>
      </c>
      <c r="J58" s="16" t="s">
        <v>88</v>
      </c>
      <c r="K58" s="16" t="s">
        <v>89</v>
      </c>
      <c r="L58" s="16" t="s">
        <v>90</v>
      </c>
      <c r="M58" s="16" t="s">
        <v>91</v>
      </c>
      <c r="N58" s="16"/>
      <c r="O58" s="16"/>
    </row>
    <row r="59" customFormat="false" ht="35.05" hidden="false" customHeight="false" outlineLevel="0" collapsed="false">
      <c r="A59" s="16" t="s">
        <v>80</v>
      </c>
      <c r="B59" s="16" t="n">
        <v>3831</v>
      </c>
      <c r="C59" s="16" t="s">
        <v>301</v>
      </c>
      <c r="D59" s="16" t="s">
        <v>267</v>
      </c>
      <c r="E59" s="16" t="s">
        <v>297</v>
      </c>
      <c r="F59" s="16" t="s">
        <v>302</v>
      </c>
      <c r="G59" s="16" t="s">
        <v>190</v>
      </c>
      <c r="H59" s="16" t="s">
        <v>303</v>
      </c>
      <c r="I59" s="16" t="s">
        <v>300</v>
      </c>
      <c r="J59" s="16" t="s">
        <v>88</v>
      </c>
      <c r="K59" s="16" t="s">
        <v>89</v>
      </c>
      <c r="L59" s="16" t="s">
        <v>90</v>
      </c>
      <c r="M59" s="16" t="s">
        <v>91</v>
      </c>
      <c r="N59" s="16"/>
      <c r="O59" s="16"/>
    </row>
    <row r="60" customFormat="false" ht="35.05" hidden="false" customHeight="false" outlineLevel="0" collapsed="false">
      <c r="A60" s="5" t="s">
        <v>304</v>
      </c>
      <c r="B60" s="5" t="n">
        <v>3665</v>
      </c>
      <c r="C60" s="5" t="s">
        <v>305</v>
      </c>
      <c r="D60" s="5" t="s">
        <v>82</v>
      </c>
      <c r="E60" s="5" t="s">
        <v>83</v>
      </c>
      <c r="F60" s="5" t="s">
        <v>306</v>
      </c>
      <c r="G60" s="5" t="s">
        <v>85</v>
      </c>
      <c r="H60" s="5" t="s">
        <v>307</v>
      </c>
      <c r="I60" s="5" t="s">
        <v>308</v>
      </c>
      <c r="J60" s="5" t="s">
        <v>88</v>
      </c>
      <c r="K60" s="5" t="s">
        <v>89</v>
      </c>
      <c r="L60" s="5" t="s">
        <v>90</v>
      </c>
      <c r="M60" s="5" t="s">
        <v>91</v>
      </c>
      <c r="N60" s="5"/>
      <c r="O60" s="5"/>
    </row>
    <row r="61" customFormat="false" ht="35.05" hidden="false" customHeight="false" outlineLevel="0" collapsed="false">
      <c r="A61" s="5" t="s">
        <v>304</v>
      </c>
      <c r="B61" s="5" t="n">
        <v>3669</v>
      </c>
      <c r="C61" s="5" t="s">
        <v>309</v>
      </c>
      <c r="D61" s="5" t="s">
        <v>82</v>
      </c>
      <c r="E61" s="5" t="s">
        <v>83</v>
      </c>
      <c r="F61" s="5" t="s">
        <v>310</v>
      </c>
      <c r="G61" s="5" t="s">
        <v>311</v>
      </c>
      <c r="H61" s="5" t="s">
        <v>312</v>
      </c>
      <c r="I61" s="5" t="s">
        <v>313</v>
      </c>
      <c r="J61" s="5" t="s">
        <v>88</v>
      </c>
      <c r="K61" s="5" t="s">
        <v>89</v>
      </c>
      <c r="L61" s="5" t="s">
        <v>90</v>
      </c>
      <c r="M61" s="5" t="s">
        <v>91</v>
      </c>
      <c r="N61" s="5"/>
      <c r="O61" s="5"/>
    </row>
    <row r="62" customFormat="false" ht="35.05" hidden="false" customHeight="false" outlineLevel="0" collapsed="false">
      <c r="A62" s="5" t="s">
        <v>304</v>
      </c>
      <c r="B62" s="5" t="n">
        <v>4273</v>
      </c>
      <c r="C62" s="5" t="s">
        <v>314</v>
      </c>
      <c r="D62" s="5" t="s">
        <v>82</v>
      </c>
      <c r="E62" s="5" t="s">
        <v>83</v>
      </c>
      <c r="F62" s="5" t="s">
        <v>315</v>
      </c>
      <c r="G62" s="5" t="s">
        <v>252</v>
      </c>
      <c r="H62" s="5" t="s">
        <v>316</v>
      </c>
      <c r="I62" s="5" t="s">
        <v>317</v>
      </c>
      <c r="J62" s="5" t="s">
        <v>88</v>
      </c>
      <c r="K62" s="5" t="s">
        <v>89</v>
      </c>
      <c r="L62" s="5" t="s">
        <v>90</v>
      </c>
      <c r="M62" s="5" t="s">
        <v>91</v>
      </c>
      <c r="N62" s="5"/>
      <c r="O62" s="5"/>
    </row>
    <row r="63" customFormat="false" ht="35.05" hidden="false" customHeight="false" outlineLevel="0" collapsed="false">
      <c r="A63" s="5" t="s">
        <v>304</v>
      </c>
      <c r="B63" s="5" t="n">
        <v>3671</v>
      </c>
      <c r="C63" s="5" t="s">
        <v>318</v>
      </c>
      <c r="D63" s="5" t="s">
        <v>82</v>
      </c>
      <c r="E63" s="5" t="s">
        <v>83</v>
      </c>
      <c r="F63" s="5" t="s">
        <v>319</v>
      </c>
      <c r="G63" s="5" t="s">
        <v>252</v>
      </c>
      <c r="H63" s="5" t="s">
        <v>320</v>
      </c>
      <c r="I63" s="5" t="s">
        <v>317</v>
      </c>
      <c r="J63" s="5" t="s">
        <v>88</v>
      </c>
      <c r="K63" s="5" t="s">
        <v>89</v>
      </c>
      <c r="L63" s="5" t="s">
        <v>90</v>
      </c>
      <c r="M63" s="5" t="s">
        <v>91</v>
      </c>
      <c r="N63" s="5"/>
      <c r="O63" s="5"/>
    </row>
    <row r="64" customFormat="false" ht="35.05" hidden="false" customHeight="false" outlineLevel="0" collapsed="false">
      <c r="A64" s="5" t="s">
        <v>304</v>
      </c>
      <c r="B64" s="5" t="n">
        <v>4304</v>
      </c>
      <c r="C64" s="5" t="s">
        <v>321</v>
      </c>
      <c r="D64" s="5" t="s">
        <v>82</v>
      </c>
      <c r="E64" s="5" t="s">
        <v>83</v>
      </c>
      <c r="F64" s="5" t="s">
        <v>322</v>
      </c>
      <c r="G64" s="5" t="s">
        <v>127</v>
      </c>
      <c r="H64" s="5" t="s">
        <v>323</v>
      </c>
      <c r="I64" s="5" t="s">
        <v>129</v>
      </c>
      <c r="J64" s="5" t="s">
        <v>88</v>
      </c>
      <c r="K64" s="5" t="s">
        <v>89</v>
      </c>
      <c r="L64" s="5" t="s">
        <v>90</v>
      </c>
      <c r="M64" s="5" t="s">
        <v>91</v>
      </c>
      <c r="N64" s="5"/>
      <c r="O64" s="5"/>
    </row>
    <row r="65" customFormat="false" ht="35.05" hidden="false" customHeight="false" outlineLevel="0" collapsed="false">
      <c r="A65" s="5" t="s">
        <v>304</v>
      </c>
      <c r="B65" s="5" t="n">
        <v>3548</v>
      </c>
      <c r="C65" s="5" t="s">
        <v>324</v>
      </c>
      <c r="D65" s="5" t="s">
        <v>82</v>
      </c>
      <c r="E65" s="5" t="s">
        <v>83</v>
      </c>
      <c r="F65" s="5" t="s">
        <v>325</v>
      </c>
      <c r="G65" s="5" t="s">
        <v>127</v>
      </c>
      <c r="H65" s="5" t="s">
        <v>326</v>
      </c>
      <c r="I65" s="5" t="s">
        <v>129</v>
      </c>
      <c r="J65" s="5" t="s">
        <v>88</v>
      </c>
      <c r="K65" s="5" t="s">
        <v>89</v>
      </c>
      <c r="L65" s="5" t="s">
        <v>90</v>
      </c>
      <c r="M65" s="5" t="s">
        <v>91</v>
      </c>
      <c r="N65" s="5"/>
      <c r="O65" s="5"/>
    </row>
    <row r="66" customFormat="false" ht="35.05" hidden="false" customHeight="false" outlineLevel="0" collapsed="false">
      <c r="A66" s="5" t="s">
        <v>304</v>
      </c>
      <c r="B66" s="5" t="n">
        <v>3672</v>
      </c>
      <c r="C66" s="5" t="s">
        <v>327</v>
      </c>
      <c r="D66" s="5" t="s">
        <v>82</v>
      </c>
      <c r="E66" s="5" t="s">
        <v>83</v>
      </c>
      <c r="F66" s="5" t="s">
        <v>328</v>
      </c>
      <c r="G66" s="5" t="s">
        <v>127</v>
      </c>
      <c r="H66" s="5" t="s">
        <v>329</v>
      </c>
      <c r="I66" s="5" t="s">
        <v>330</v>
      </c>
      <c r="J66" s="5" t="s">
        <v>88</v>
      </c>
      <c r="K66" s="5" t="s">
        <v>89</v>
      </c>
      <c r="L66" s="5" t="s">
        <v>90</v>
      </c>
      <c r="M66" s="5" t="s">
        <v>91</v>
      </c>
      <c r="N66" s="5"/>
      <c r="O66" s="5"/>
    </row>
    <row r="67" customFormat="false" ht="35.05" hidden="false" customHeight="false" outlineLevel="0" collapsed="false">
      <c r="A67" s="5" t="s">
        <v>304</v>
      </c>
      <c r="B67" s="5" t="n">
        <v>4312</v>
      </c>
      <c r="C67" s="5" t="s">
        <v>331</v>
      </c>
      <c r="D67" s="5" t="s">
        <v>82</v>
      </c>
      <c r="E67" s="5" t="s">
        <v>83</v>
      </c>
      <c r="F67" s="5" t="s">
        <v>332</v>
      </c>
      <c r="G67" s="5" t="s">
        <v>94</v>
      </c>
      <c r="H67" s="5" t="s">
        <v>333</v>
      </c>
      <c r="I67" s="5" t="s">
        <v>96</v>
      </c>
      <c r="J67" s="5" t="s">
        <v>88</v>
      </c>
      <c r="K67" s="5" t="s">
        <v>89</v>
      </c>
      <c r="L67" s="5" t="s">
        <v>90</v>
      </c>
      <c r="M67" s="5" t="s">
        <v>91</v>
      </c>
      <c r="N67" s="5"/>
      <c r="O67" s="5"/>
    </row>
    <row r="68" customFormat="false" ht="35.05" hidden="false" customHeight="false" outlineLevel="0" collapsed="false">
      <c r="A68" s="5" t="s">
        <v>304</v>
      </c>
      <c r="B68" s="5" t="n">
        <v>4307</v>
      </c>
      <c r="C68" s="5" t="s">
        <v>334</v>
      </c>
      <c r="D68" s="5" t="s">
        <v>82</v>
      </c>
      <c r="E68" s="5" t="s">
        <v>83</v>
      </c>
      <c r="F68" s="5" t="s">
        <v>335</v>
      </c>
      <c r="G68" s="5" t="s">
        <v>94</v>
      </c>
      <c r="H68" s="5" t="s">
        <v>336</v>
      </c>
      <c r="I68" s="5" t="s">
        <v>96</v>
      </c>
      <c r="J68" s="5" t="s">
        <v>88</v>
      </c>
      <c r="K68" s="5" t="s">
        <v>89</v>
      </c>
      <c r="L68" s="5" t="s">
        <v>90</v>
      </c>
      <c r="M68" s="5" t="s">
        <v>91</v>
      </c>
      <c r="N68" s="5"/>
      <c r="O68" s="5"/>
    </row>
    <row r="69" customFormat="false" ht="35.05" hidden="false" customHeight="false" outlineLevel="0" collapsed="false">
      <c r="A69" s="5" t="s">
        <v>304</v>
      </c>
      <c r="B69" s="5" t="n">
        <v>3675</v>
      </c>
      <c r="C69" s="5" t="s">
        <v>337</v>
      </c>
      <c r="D69" s="5" t="s">
        <v>82</v>
      </c>
      <c r="E69" s="5" t="s">
        <v>83</v>
      </c>
      <c r="F69" s="5" t="s">
        <v>338</v>
      </c>
      <c r="G69" s="5" t="s">
        <v>94</v>
      </c>
      <c r="H69" s="5" t="s">
        <v>339</v>
      </c>
      <c r="I69" s="5" t="s">
        <v>96</v>
      </c>
      <c r="J69" s="5" t="s">
        <v>88</v>
      </c>
      <c r="K69" s="5" t="s">
        <v>89</v>
      </c>
      <c r="L69" s="5" t="s">
        <v>90</v>
      </c>
      <c r="M69" s="5" t="s">
        <v>91</v>
      </c>
      <c r="N69" s="5"/>
      <c r="O69" s="5"/>
    </row>
    <row r="70" customFormat="false" ht="35.05" hidden="false" customHeight="false" outlineLevel="0" collapsed="false">
      <c r="A70" s="5" t="s">
        <v>304</v>
      </c>
      <c r="B70" s="5" t="n">
        <v>3676</v>
      </c>
      <c r="C70" s="5" t="s">
        <v>340</v>
      </c>
      <c r="D70" s="5" t="s">
        <v>82</v>
      </c>
      <c r="E70" s="5" t="s">
        <v>83</v>
      </c>
      <c r="F70" s="5" t="s">
        <v>341</v>
      </c>
      <c r="G70" s="5" t="s">
        <v>94</v>
      </c>
      <c r="H70" s="5" t="s">
        <v>342</v>
      </c>
      <c r="I70" s="5" t="s">
        <v>96</v>
      </c>
      <c r="J70" s="5" t="s">
        <v>88</v>
      </c>
      <c r="K70" s="5" t="s">
        <v>89</v>
      </c>
      <c r="L70" s="5" t="s">
        <v>90</v>
      </c>
      <c r="M70" s="5" t="s">
        <v>91</v>
      </c>
      <c r="N70" s="5"/>
      <c r="O70" s="5"/>
    </row>
    <row r="71" customFormat="false" ht="35.05" hidden="false" customHeight="false" outlineLevel="0" collapsed="false">
      <c r="A71" s="5" t="s">
        <v>304</v>
      </c>
      <c r="B71" s="5" t="n">
        <v>3832</v>
      </c>
      <c r="C71" s="5" t="s">
        <v>343</v>
      </c>
      <c r="D71" s="5" t="s">
        <v>82</v>
      </c>
      <c r="E71" s="5" t="s">
        <v>104</v>
      </c>
      <c r="F71" s="5" t="s">
        <v>344</v>
      </c>
      <c r="G71" s="5" t="s">
        <v>85</v>
      </c>
      <c r="H71" s="5" t="s">
        <v>345</v>
      </c>
      <c r="I71" s="5" t="s">
        <v>107</v>
      </c>
      <c r="J71" s="5" t="s">
        <v>88</v>
      </c>
      <c r="K71" s="5" t="s">
        <v>89</v>
      </c>
      <c r="L71" s="5" t="s">
        <v>90</v>
      </c>
      <c r="M71" s="5" t="s">
        <v>91</v>
      </c>
      <c r="N71" s="5"/>
      <c r="O71" s="5"/>
    </row>
    <row r="72" customFormat="false" ht="35.05" hidden="false" customHeight="false" outlineLevel="0" collapsed="false">
      <c r="A72" s="5" t="s">
        <v>304</v>
      </c>
      <c r="B72" s="5" t="n">
        <v>3680</v>
      </c>
      <c r="C72" s="5" t="s">
        <v>346</v>
      </c>
      <c r="D72" s="5" t="s">
        <v>82</v>
      </c>
      <c r="E72" s="5" t="s">
        <v>104</v>
      </c>
      <c r="F72" s="5" t="s">
        <v>347</v>
      </c>
      <c r="G72" s="5"/>
      <c r="H72" s="5" t="s">
        <v>348</v>
      </c>
      <c r="I72" s="5" t="s">
        <v>107</v>
      </c>
      <c r="J72" s="5" t="s">
        <v>88</v>
      </c>
      <c r="K72" s="5" t="s">
        <v>89</v>
      </c>
      <c r="L72" s="5" t="s">
        <v>90</v>
      </c>
      <c r="M72" s="5" t="s">
        <v>91</v>
      </c>
      <c r="N72" s="5"/>
      <c r="O72" s="5"/>
    </row>
    <row r="73" customFormat="false" ht="35.05" hidden="false" customHeight="false" outlineLevel="0" collapsed="false">
      <c r="A73" s="5" t="s">
        <v>304</v>
      </c>
      <c r="B73" s="5" t="n">
        <v>3682</v>
      </c>
      <c r="C73" s="5" t="s">
        <v>349</v>
      </c>
      <c r="D73" s="5" t="s">
        <v>82</v>
      </c>
      <c r="E73" s="5" t="s">
        <v>104</v>
      </c>
      <c r="F73" s="5" t="s">
        <v>350</v>
      </c>
      <c r="G73" s="5" t="s">
        <v>119</v>
      </c>
      <c r="H73" s="5" t="s">
        <v>351</v>
      </c>
      <c r="I73" s="5" t="s">
        <v>352</v>
      </c>
      <c r="J73" s="5" t="s">
        <v>88</v>
      </c>
      <c r="K73" s="5" t="s">
        <v>89</v>
      </c>
      <c r="L73" s="5" t="s">
        <v>90</v>
      </c>
      <c r="M73" s="5" t="s">
        <v>91</v>
      </c>
      <c r="N73" s="5"/>
      <c r="O73" s="5"/>
    </row>
    <row r="74" customFormat="false" ht="35.05" hidden="false" customHeight="false" outlineLevel="0" collapsed="false">
      <c r="A74" s="5" t="s">
        <v>304</v>
      </c>
      <c r="B74" s="5" t="n">
        <v>3683</v>
      </c>
      <c r="C74" s="5" t="s">
        <v>353</v>
      </c>
      <c r="D74" s="5" t="s">
        <v>82</v>
      </c>
      <c r="E74" s="5" t="s">
        <v>104</v>
      </c>
      <c r="F74" s="5" t="s">
        <v>354</v>
      </c>
      <c r="G74" s="5" t="s">
        <v>85</v>
      </c>
      <c r="H74" s="5" t="s">
        <v>355</v>
      </c>
      <c r="I74" s="5" t="s">
        <v>107</v>
      </c>
      <c r="J74" s="5" t="s">
        <v>88</v>
      </c>
      <c r="K74" s="5" t="s">
        <v>89</v>
      </c>
      <c r="L74" s="5" t="s">
        <v>90</v>
      </c>
      <c r="M74" s="5" t="s">
        <v>91</v>
      </c>
      <c r="N74" s="5"/>
      <c r="O74" s="5"/>
    </row>
    <row r="75" customFormat="false" ht="35.05" hidden="false" customHeight="false" outlineLevel="0" collapsed="false">
      <c r="A75" s="5" t="s">
        <v>304</v>
      </c>
      <c r="B75" s="5" t="n">
        <v>3684</v>
      </c>
      <c r="C75" s="5" t="s">
        <v>356</v>
      </c>
      <c r="D75" s="5" t="s">
        <v>82</v>
      </c>
      <c r="E75" s="5"/>
      <c r="F75" s="5" t="s">
        <v>357</v>
      </c>
      <c r="G75" s="5"/>
      <c r="H75" s="5" t="s">
        <v>358</v>
      </c>
      <c r="I75" s="5" t="s">
        <v>359</v>
      </c>
      <c r="J75" s="5" t="s">
        <v>88</v>
      </c>
      <c r="K75" s="5" t="s">
        <v>89</v>
      </c>
      <c r="L75" s="5" t="s">
        <v>90</v>
      </c>
      <c r="M75" s="5" t="s">
        <v>91</v>
      </c>
      <c r="N75" s="5"/>
      <c r="O75" s="5"/>
    </row>
    <row r="76" customFormat="false" ht="35.05" hidden="false" customHeight="false" outlineLevel="0" collapsed="false">
      <c r="A76" s="5" t="s">
        <v>304</v>
      </c>
      <c r="B76" s="5" t="n">
        <v>3689</v>
      </c>
      <c r="C76" s="5" t="s">
        <v>360</v>
      </c>
      <c r="D76" s="5" t="s">
        <v>82</v>
      </c>
      <c r="E76" s="5" t="s">
        <v>104</v>
      </c>
      <c r="F76" s="5" t="s">
        <v>361</v>
      </c>
      <c r="G76" s="5" t="s">
        <v>85</v>
      </c>
      <c r="H76" s="5" t="s">
        <v>362</v>
      </c>
      <c r="I76" s="5" t="s">
        <v>107</v>
      </c>
      <c r="J76" s="5" t="s">
        <v>88</v>
      </c>
      <c r="K76" s="5" t="s">
        <v>89</v>
      </c>
      <c r="L76" s="5" t="s">
        <v>90</v>
      </c>
      <c r="M76" s="5" t="s">
        <v>91</v>
      </c>
      <c r="N76" s="5"/>
      <c r="O76" s="5"/>
    </row>
    <row r="77" customFormat="false" ht="35.05" hidden="false" customHeight="false" outlineLevel="0" collapsed="false">
      <c r="A77" s="5" t="s">
        <v>304</v>
      </c>
      <c r="B77" s="5" t="n">
        <v>4003</v>
      </c>
      <c r="C77" s="5" t="s">
        <v>363</v>
      </c>
      <c r="D77" s="5" t="s">
        <v>82</v>
      </c>
      <c r="E77" s="5"/>
      <c r="F77" s="5" t="s">
        <v>364</v>
      </c>
      <c r="G77" s="5"/>
      <c r="H77" s="5" t="s">
        <v>365</v>
      </c>
      <c r="I77" s="5" t="s">
        <v>107</v>
      </c>
      <c r="J77" s="5" t="s">
        <v>88</v>
      </c>
      <c r="K77" s="5" t="s">
        <v>89</v>
      </c>
      <c r="L77" s="5" t="s">
        <v>90</v>
      </c>
      <c r="M77" s="5" t="s">
        <v>91</v>
      </c>
      <c r="N77" s="5"/>
      <c r="O77" s="5"/>
    </row>
    <row r="78" customFormat="false" ht="35.05" hidden="false" customHeight="false" outlineLevel="0" collapsed="false">
      <c r="A78" s="5" t="s">
        <v>304</v>
      </c>
      <c r="B78" s="5" t="n">
        <v>3694</v>
      </c>
      <c r="C78" s="5" t="s">
        <v>366</v>
      </c>
      <c r="D78" s="5" t="s">
        <v>82</v>
      </c>
      <c r="E78" s="5" t="s">
        <v>104</v>
      </c>
      <c r="F78" s="5" t="s">
        <v>367</v>
      </c>
      <c r="G78" s="5" t="s">
        <v>119</v>
      </c>
      <c r="H78" s="5" t="s">
        <v>368</v>
      </c>
      <c r="I78" s="5" t="s">
        <v>107</v>
      </c>
      <c r="J78" s="5" t="s">
        <v>88</v>
      </c>
      <c r="K78" s="5" t="s">
        <v>89</v>
      </c>
      <c r="L78" s="5" t="s">
        <v>90</v>
      </c>
      <c r="M78" s="5" t="s">
        <v>91</v>
      </c>
      <c r="N78" s="5"/>
      <c r="O78" s="5"/>
    </row>
    <row r="79" customFormat="false" ht="35.05" hidden="false" customHeight="false" outlineLevel="0" collapsed="false">
      <c r="A79" s="5" t="s">
        <v>304</v>
      </c>
      <c r="B79" s="5" t="n">
        <v>4161</v>
      </c>
      <c r="C79" s="5" t="s">
        <v>369</v>
      </c>
      <c r="D79" s="5" t="s">
        <v>82</v>
      </c>
      <c r="E79" s="5"/>
      <c r="F79" s="5" t="s">
        <v>370</v>
      </c>
      <c r="G79" s="5" t="s">
        <v>119</v>
      </c>
      <c r="H79" s="5" t="s">
        <v>371</v>
      </c>
      <c r="I79" s="5" t="s">
        <v>107</v>
      </c>
      <c r="J79" s="5" t="s">
        <v>88</v>
      </c>
      <c r="K79" s="5" t="s">
        <v>89</v>
      </c>
      <c r="L79" s="5" t="s">
        <v>90</v>
      </c>
      <c r="M79" s="5" t="s">
        <v>91</v>
      </c>
      <c r="N79" s="5"/>
      <c r="O79" s="5"/>
    </row>
    <row r="80" customFormat="false" ht="35.05" hidden="false" customHeight="false" outlineLevel="0" collapsed="false">
      <c r="A80" s="5" t="s">
        <v>304</v>
      </c>
      <c r="B80" s="5" t="n">
        <v>4030</v>
      </c>
      <c r="C80" s="5" t="s">
        <v>372</v>
      </c>
      <c r="D80" s="5" t="s">
        <v>82</v>
      </c>
      <c r="E80" s="5"/>
      <c r="F80" s="5" t="s">
        <v>373</v>
      </c>
      <c r="G80" s="5"/>
      <c r="H80" s="5" t="s">
        <v>374</v>
      </c>
      <c r="I80" s="5" t="s">
        <v>359</v>
      </c>
      <c r="J80" s="5" t="s">
        <v>88</v>
      </c>
      <c r="K80" s="5" t="s">
        <v>89</v>
      </c>
      <c r="L80" s="5" t="s">
        <v>90</v>
      </c>
      <c r="M80" s="5" t="s">
        <v>91</v>
      </c>
      <c r="N80" s="5"/>
      <c r="O80" s="5"/>
    </row>
    <row r="81" customFormat="false" ht="35.05" hidden="false" customHeight="false" outlineLevel="0" collapsed="false">
      <c r="A81" s="5" t="s">
        <v>304</v>
      </c>
      <c r="B81" s="5" t="n">
        <v>4125</v>
      </c>
      <c r="C81" s="5" t="s">
        <v>375</v>
      </c>
      <c r="D81" s="5" t="s">
        <v>82</v>
      </c>
      <c r="E81" s="5"/>
      <c r="F81" s="5" t="s">
        <v>376</v>
      </c>
      <c r="G81" s="5"/>
      <c r="H81" s="5" t="s">
        <v>377</v>
      </c>
      <c r="I81" s="5" t="s">
        <v>359</v>
      </c>
      <c r="J81" s="5" t="s">
        <v>88</v>
      </c>
      <c r="K81" s="5" t="s">
        <v>89</v>
      </c>
      <c r="L81" s="5" t="s">
        <v>90</v>
      </c>
      <c r="M81" s="5" t="s">
        <v>91</v>
      </c>
      <c r="N81" s="5"/>
      <c r="O81" s="5"/>
    </row>
    <row r="82" customFormat="false" ht="35.05" hidden="false" customHeight="false" outlineLevel="0" collapsed="false">
      <c r="A82" s="5" t="s">
        <v>304</v>
      </c>
      <c r="B82" s="5" t="n">
        <v>3816</v>
      </c>
      <c r="C82" s="5" t="s">
        <v>378</v>
      </c>
      <c r="D82" s="5" t="s">
        <v>82</v>
      </c>
      <c r="E82" s="5"/>
      <c r="F82" s="5" t="s">
        <v>379</v>
      </c>
      <c r="G82" s="5" t="s">
        <v>85</v>
      </c>
      <c r="H82" s="5" t="s">
        <v>380</v>
      </c>
      <c r="I82" s="5" t="s">
        <v>107</v>
      </c>
      <c r="J82" s="5" t="s">
        <v>88</v>
      </c>
      <c r="K82" s="5" t="s">
        <v>89</v>
      </c>
      <c r="L82" s="5" t="s">
        <v>90</v>
      </c>
      <c r="M82" s="5" t="s">
        <v>91</v>
      </c>
      <c r="N82" s="5"/>
      <c r="O82" s="5"/>
    </row>
    <row r="83" customFormat="false" ht="35.05" hidden="false" customHeight="false" outlineLevel="0" collapsed="false">
      <c r="A83" s="5" t="s">
        <v>304</v>
      </c>
      <c r="B83" s="5" t="n">
        <v>3785</v>
      </c>
      <c r="C83" s="5" t="s">
        <v>381</v>
      </c>
      <c r="D83" s="5" t="s">
        <v>82</v>
      </c>
      <c r="E83" s="5"/>
      <c r="F83" s="5" t="s">
        <v>382</v>
      </c>
      <c r="G83" s="5" t="s">
        <v>85</v>
      </c>
      <c r="H83" s="5" t="s">
        <v>383</v>
      </c>
      <c r="I83" s="5" t="s">
        <v>107</v>
      </c>
      <c r="J83" s="5" t="s">
        <v>88</v>
      </c>
      <c r="K83" s="5" t="s">
        <v>89</v>
      </c>
      <c r="L83" s="5" t="s">
        <v>90</v>
      </c>
      <c r="M83" s="5" t="s">
        <v>91</v>
      </c>
      <c r="N83" s="5"/>
      <c r="O83" s="5"/>
    </row>
    <row r="84" customFormat="false" ht="35.05" hidden="false" customHeight="false" outlineLevel="0" collapsed="false">
      <c r="A84" s="5" t="s">
        <v>304</v>
      </c>
      <c r="B84" s="5" t="n">
        <v>3759</v>
      </c>
      <c r="C84" s="5" t="s">
        <v>384</v>
      </c>
      <c r="D84" s="5" t="s">
        <v>132</v>
      </c>
      <c r="E84" s="5"/>
      <c r="F84" s="5" t="s">
        <v>385</v>
      </c>
      <c r="G84" s="5" t="s">
        <v>119</v>
      </c>
      <c r="H84" s="5" t="s">
        <v>386</v>
      </c>
      <c r="I84" s="5" t="s">
        <v>387</v>
      </c>
      <c r="J84" s="5" t="s">
        <v>88</v>
      </c>
      <c r="K84" s="5" t="s">
        <v>89</v>
      </c>
      <c r="L84" s="5" t="s">
        <v>130</v>
      </c>
      <c r="M84" s="5" t="s">
        <v>91</v>
      </c>
      <c r="N84" s="5"/>
      <c r="O84" s="5"/>
    </row>
    <row r="85" customFormat="false" ht="35.05" hidden="false" customHeight="false" outlineLevel="0" collapsed="false">
      <c r="A85" s="5" t="s">
        <v>304</v>
      </c>
      <c r="B85" s="5" t="n">
        <v>3554</v>
      </c>
      <c r="C85" s="5" t="s">
        <v>388</v>
      </c>
      <c r="D85" s="5" t="s">
        <v>132</v>
      </c>
      <c r="E85" s="5" t="s">
        <v>147</v>
      </c>
      <c r="F85" s="5" t="s">
        <v>389</v>
      </c>
      <c r="G85" s="5" t="s">
        <v>119</v>
      </c>
      <c r="H85" s="5" t="s">
        <v>390</v>
      </c>
      <c r="I85" s="5" t="s">
        <v>387</v>
      </c>
      <c r="J85" s="5" t="s">
        <v>88</v>
      </c>
      <c r="K85" s="5" t="s">
        <v>89</v>
      </c>
      <c r="L85" s="5" t="s">
        <v>90</v>
      </c>
      <c r="M85" s="5" t="s">
        <v>91</v>
      </c>
      <c r="N85" s="5"/>
      <c r="O85" s="5"/>
    </row>
    <row r="86" customFormat="false" ht="35.05" hidden="false" customHeight="false" outlineLevel="0" collapsed="false">
      <c r="A86" s="5" t="s">
        <v>304</v>
      </c>
      <c r="B86" s="5" t="n">
        <v>4328</v>
      </c>
      <c r="C86" s="5" t="s">
        <v>391</v>
      </c>
      <c r="D86" s="5" t="s">
        <v>132</v>
      </c>
      <c r="E86" s="5"/>
      <c r="F86" s="5" t="s">
        <v>392</v>
      </c>
      <c r="G86" s="5"/>
      <c r="H86" s="5" t="s">
        <v>393</v>
      </c>
      <c r="I86" s="5" t="s">
        <v>394</v>
      </c>
      <c r="J86" s="5" t="s">
        <v>88</v>
      </c>
      <c r="K86" s="5" t="s">
        <v>89</v>
      </c>
      <c r="L86" s="5" t="s">
        <v>90</v>
      </c>
      <c r="M86" s="5" t="s">
        <v>91</v>
      </c>
      <c r="N86" s="5"/>
      <c r="O86" s="5"/>
    </row>
    <row r="87" customFormat="false" ht="35.05" hidden="false" customHeight="false" outlineLevel="0" collapsed="false">
      <c r="A87" s="5" t="s">
        <v>304</v>
      </c>
      <c r="B87" s="5" t="n">
        <v>4319</v>
      </c>
      <c r="C87" s="5" t="s">
        <v>395</v>
      </c>
      <c r="D87" s="5" t="s">
        <v>132</v>
      </c>
      <c r="E87" s="5"/>
      <c r="F87" s="5" t="s">
        <v>396</v>
      </c>
      <c r="G87" s="5"/>
      <c r="H87" s="5" t="s">
        <v>397</v>
      </c>
      <c r="I87" s="5" t="s">
        <v>394</v>
      </c>
      <c r="J87" s="5" t="s">
        <v>88</v>
      </c>
      <c r="K87" s="5" t="s">
        <v>89</v>
      </c>
      <c r="L87" s="5" t="s">
        <v>90</v>
      </c>
      <c r="M87" s="5" t="s">
        <v>91</v>
      </c>
      <c r="N87" s="5"/>
      <c r="O87" s="5"/>
    </row>
    <row r="88" customFormat="false" ht="35.05" hidden="false" customHeight="false" outlineLevel="0" collapsed="false">
      <c r="A88" s="5" t="s">
        <v>304</v>
      </c>
      <c r="B88" s="5" t="n">
        <v>3802</v>
      </c>
      <c r="C88" s="5" t="s">
        <v>398</v>
      </c>
      <c r="D88" s="5" t="s">
        <v>132</v>
      </c>
      <c r="E88" s="5"/>
      <c r="F88" s="5" t="s">
        <v>399</v>
      </c>
      <c r="G88" s="5" t="s">
        <v>119</v>
      </c>
      <c r="H88" s="5" t="s">
        <v>400</v>
      </c>
      <c r="I88" s="5" t="s">
        <v>387</v>
      </c>
      <c r="J88" s="5" t="s">
        <v>88</v>
      </c>
      <c r="K88" s="5" t="s">
        <v>89</v>
      </c>
      <c r="L88" s="5" t="s">
        <v>90</v>
      </c>
      <c r="M88" s="5" t="s">
        <v>91</v>
      </c>
      <c r="N88" s="5"/>
      <c r="O88" s="5"/>
    </row>
    <row r="89" customFormat="false" ht="35.05" hidden="false" customHeight="false" outlineLevel="0" collapsed="false">
      <c r="A89" s="5" t="s">
        <v>304</v>
      </c>
      <c r="B89" s="5" t="n">
        <v>3762</v>
      </c>
      <c r="C89" s="5" t="s">
        <v>401</v>
      </c>
      <c r="D89" s="5" t="s">
        <v>132</v>
      </c>
      <c r="E89" s="5" t="s">
        <v>147</v>
      </c>
      <c r="F89" s="5" t="s">
        <v>402</v>
      </c>
      <c r="G89" s="5" t="s">
        <v>119</v>
      </c>
      <c r="H89" s="5" t="s">
        <v>403</v>
      </c>
      <c r="I89" s="5" t="s">
        <v>387</v>
      </c>
      <c r="J89" s="5" t="s">
        <v>88</v>
      </c>
      <c r="K89" s="5" t="s">
        <v>89</v>
      </c>
      <c r="L89" s="5" t="s">
        <v>90</v>
      </c>
      <c r="M89" s="5" t="s">
        <v>91</v>
      </c>
      <c r="N89" s="5"/>
      <c r="O89" s="5"/>
    </row>
    <row r="90" customFormat="false" ht="35.05" hidden="false" customHeight="false" outlineLevel="0" collapsed="false">
      <c r="A90" s="5" t="s">
        <v>304</v>
      </c>
      <c r="B90" s="5" t="n">
        <v>4048</v>
      </c>
      <c r="C90" s="5" t="s">
        <v>404</v>
      </c>
      <c r="D90" s="5" t="s">
        <v>132</v>
      </c>
      <c r="E90" s="5"/>
      <c r="F90" s="5" t="s">
        <v>405</v>
      </c>
      <c r="G90" s="5" t="s">
        <v>119</v>
      </c>
      <c r="H90" s="5" t="s">
        <v>406</v>
      </c>
      <c r="I90" s="5" t="s">
        <v>387</v>
      </c>
      <c r="J90" s="5" t="s">
        <v>88</v>
      </c>
      <c r="K90" s="5" t="s">
        <v>89</v>
      </c>
      <c r="L90" s="5" t="s">
        <v>90</v>
      </c>
      <c r="M90" s="5" t="s">
        <v>91</v>
      </c>
      <c r="N90" s="5"/>
      <c r="O90" s="5"/>
    </row>
    <row r="91" customFormat="false" ht="35.05" hidden="false" customHeight="false" outlineLevel="0" collapsed="false">
      <c r="A91" s="5" t="s">
        <v>304</v>
      </c>
      <c r="B91" s="5" t="n">
        <v>3904</v>
      </c>
      <c r="C91" s="5" t="s">
        <v>407</v>
      </c>
      <c r="D91" s="5" t="s">
        <v>132</v>
      </c>
      <c r="E91" s="5"/>
      <c r="F91" s="5" t="s">
        <v>408</v>
      </c>
      <c r="G91" s="5" t="s">
        <v>119</v>
      </c>
      <c r="H91" s="5" t="s">
        <v>409</v>
      </c>
      <c r="I91" s="5" t="s">
        <v>387</v>
      </c>
      <c r="J91" s="5" t="s">
        <v>88</v>
      </c>
      <c r="K91" s="5" t="s">
        <v>89</v>
      </c>
      <c r="L91" s="5" t="s">
        <v>90</v>
      </c>
      <c r="M91" s="5" t="s">
        <v>91</v>
      </c>
      <c r="N91" s="5"/>
      <c r="O91" s="5"/>
    </row>
    <row r="92" customFormat="false" ht="35.05" hidden="false" customHeight="false" outlineLevel="0" collapsed="false">
      <c r="A92" s="5" t="s">
        <v>304</v>
      </c>
      <c r="B92" s="5" t="n">
        <v>4058</v>
      </c>
      <c r="C92" s="5" t="s">
        <v>131</v>
      </c>
      <c r="D92" s="5" t="s">
        <v>132</v>
      </c>
      <c r="E92" s="5"/>
      <c r="F92" s="5" t="s">
        <v>410</v>
      </c>
      <c r="G92" s="5" t="s">
        <v>85</v>
      </c>
      <c r="H92" s="5" t="s">
        <v>411</v>
      </c>
      <c r="I92" s="5" t="s">
        <v>412</v>
      </c>
      <c r="J92" s="5" t="s">
        <v>88</v>
      </c>
      <c r="K92" s="5" t="s">
        <v>89</v>
      </c>
      <c r="L92" s="5" t="s">
        <v>90</v>
      </c>
      <c r="M92" s="5" t="s">
        <v>91</v>
      </c>
      <c r="N92" s="5"/>
      <c r="O92" s="5"/>
    </row>
    <row r="93" customFormat="false" ht="35.05" hidden="false" customHeight="false" outlineLevel="0" collapsed="false">
      <c r="A93" s="5" t="s">
        <v>304</v>
      </c>
      <c r="B93" s="5" t="n">
        <v>3763</v>
      </c>
      <c r="C93" s="5" t="s">
        <v>413</v>
      </c>
      <c r="D93" s="5" t="s">
        <v>132</v>
      </c>
      <c r="E93" s="5" t="s">
        <v>147</v>
      </c>
      <c r="F93" s="5" t="s">
        <v>414</v>
      </c>
      <c r="G93" s="5" t="s">
        <v>119</v>
      </c>
      <c r="H93" s="5" t="s">
        <v>415</v>
      </c>
      <c r="I93" s="5" t="s">
        <v>140</v>
      </c>
      <c r="J93" s="5" t="s">
        <v>88</v>
      </c>
      <c r="K93" s="5" t="s">
        <v>89</v>
      </c>
      <c r="L93" s="5" t="s">
        <v>90</v>
      </c>
      <c r="M93" s="5" t="s">
        <v>91</v>
      </c>
      <c r="N93" s="5"/>
      <c r="O93" s="5"/>
    </row>
    <row r="94" customFormat="false" ht="35.05" hidden="false" customHeight="false" outlineLevel="0" collapsed="false">
      <c r="A94" s="5" t="s">
        <v>304</v>
      </c>
      <c r="B94" s="5" t="n">
        <v>4138</v>
      </c>
      <c r="C94" s="5" t="s">
        <v>131</v>
      </c>
      <c r="D94" s="5" t="s">
        <v>132</v>
      </c>
      <c r="E94" s="5"/>
      <c r="F94" s="5" t="s">
        <v>416</v>
      </c>
      <c r="G94" s="5" t="s">
        <v>119</v>
      </c>
      <c r="H94" s="5" t="s">
        <v>417</v>
      </c>
      <c r="I94" s="5" t="s">
        <v>418</v>
      </c>
      <c r="J94" s="5" t="s">
        <v>88</v>
      </c>
      <c r="K94" s="5" t="s">
        <v>89</v>
      </c>
      <c r="L94" s="5" t="s">
        <v>90</v>
      </c>
      <c r="M94" s="5" t="s">
        <v>91</v>
      </c>
      <c r="N94" s="5"/>
      <c r="O94" s="5"/>
    </row>
    <row r="95" customFormat="false" ht="35.05" hidden="false" customHeight="false" outlineLevel="0" collapsed="false">
      <c r="A95" s="5" t="s">
        <v>304</v>
      </c>
      <c r="B95" s="5" t="n">
        <v>3853</v>
      </c>
      <c r="C95" s="5" t="s">
        <v>419</v>
      </c>
      <c r="D95" s="5" t="s">
        <v>132</v>
      </c>
      <c r="E95" s="5"/>
      <c r="F95" s="5" t="s">
        <v>420</v>
      </c>
      <c r="G95" s="5" t="s">
        <v>119</v>
      </c>
      <c r="H95" s="5" t="s">
        <v>421</v>
      </c>
      <c r="I95" s="5" t="s">
        <v>418</v>
      </c>
      <c r="J95" s="5" t="s">
        <v>88</v>
      </c>
      <c r="K95" s="5" t="s">
        <v>89</v>
      </c>
      <c r="L95" s="5" t="s">
        <v>90</v>
      </c>
      <c r="M95" s="5" t="s">
        <v>91</v>
      </c>
      <c r="N95" s="5"/>
      <c r="O95" s="5"/>
    </row>
    <row r="96" customFormat="false" ht="35.05" hidden="false" customHeight="false" outlineLevel="0" collapsed="false">
      <c r="A96" s="5" t="s">
        <v>304</v>
      </c>
      <c r="B96" s="5" t="n">
        <v>3767</v>
      </c>
      <c r="C96" s="5" t="s">
        <v>422</v>
      </c>
      <c r="D96" s="5" t="s">
        <v>132</v>
      </c>
      <c r="E96" s="5" t="s">
        <v>147</v>
      </c>
      <c r="F96" s="5" t="s">
        <v>423</v>
      </c>
      <c r="G96" s="5" t="s">
        <v>119</v>
      </c>
      <c r="H96" s="5" t="s">
        <v>424</v>
      </c>
      <c r="I96" s="5" t="s">
        <v>418</v>
      </c>
      <c r="J96" s="5" t="s">
        <v>88</v>
      </c>
      <c r="K96" s="5" t="s">
        <v>89</v>
      </c>
      <c r="L96" s="5" t="s">
        <v>90</v>
      </c>
      <c r="M96" s="5" t="s">
        <v>91</v>
      </c>
      <c r="N96" s="5"/>
      <c r="O96" s="5"/>
    </row>
    <row r="97" customFormat="false" ht="35.05" hidden="false" customHeight="false" outlineLevel="0" collapsed="false">
      <c r="A97" s="5" t="s">
        <v>304</v>
      </c>
      <c r="B97" s="5" t="n">
        <v>3768</v>
      </c>
      <c r="C97" s="5" t="s">
        <v>425</v>
      </c>
      <c r="D97" s="5" t="s">
        <v>132</v>
      </c>
      <c r="E97" s="5" t="s">
        <v>147</v>
      </c>
      <c r="F97" s="5" t="s">
        <v>426</v>
      </c>
      <c r="G97" s="5" t="s">
        <v>119</v>
      </c>
      <c r="H97" s="5" t="s">
        <v>427</v>
      </c>
      <c r="I97" s="5" t="s">
        <v>418</v>
      </c>
      <c r="J97" s="5" t="s">
        <v>88</v>
      </c>
      <c r="K97" s="5" t="s">
        <v>89</v>
      </c>
      <c r="L97" s="5" t="s">
        <v>90</v>
      </c>
      <c r="M97" s="5" t="s">
        <v>91</v>
      </c>
      <c r="N97" s="5"/>
      <c r="O97" s="5"/>
    </row>
    <row r="98" customFormat="false" ht="35.05" hidden="false" customHeight="false" outlineLevel="0" collapsed="false">
      <c r="A98" s="5" t="s">
        <v>304</v>
      </c>
      <c r="B98" s="5" t="n">
        <v>3918</v>
      </c>
      <c r="C98" s="5" t="s">
        <v>428</v>
      </c>
      <c r="D98" s="5" t="s">
        <v>132</v>
      </c>
      <c r="E98" s="5"/>
      <c r="F98" s="5" t="s">
        <v>429</v>
      </c>
      <c r="G98" s="5" t="s">
        <v>430</v>
      </c>
      <c r="H98" s="5" t="s">
        <v>431</v>
      </c>
      <c r="I98" s="5" t="s">
        <v>432</v>
      </c>
      <c r="J98" s="5" t="s">
        <v>88</v>
      </c>
      <c r="K98" s="5" t="s">
        <v>89</v>
      </c>
      <c r="L98" s="5" t="s">
        <v>130</v>
      </c>
      <c r="M98" s="5" t="s">
        <v>91</v>
      </c>
      <c r="N98" s="5"/>
      <c r="O98" s="5"/>
    </row>
    <row r="99" customFormat="false" ht="35.05" hidden="false" customHeight="false" outlineLevel="0" collapsed="false">
      <c r="A99" s="5" t="s">
        <v>304</v>
      </c>
      <c r="B99" s="5" t="n">
        <v>3839</v>
      </c>
      <c r="C99" s="5" t="s">
        <v>433</v>
      </c>
      <c r="D99" s="5" t="s">
        <v>132</v>
      </c>
      <c r="E99" s="5"/>
      <c r="F99" s="5" t="s">
        <v>434</v>
      </c>
      <c r="G99" s="5" t="s">
        <v>85</v>
      </c>
      <c r="H99" s="5" t="s">
        <v>435</v>
      </c>
      <c r="I99" s="5" t="s">
        <v>156</v>
      </c>
      <c r="J99" s="5" t="s">
        <v>88</v>
      </c>
      <c r="K99" s="5" t="s">
        <v>89</v>
      </c>
      <c r="L99" s="5" t="s">
        <v>90</v>
      </c>
      <c r="M99" s="5" t="s">
        <v>91</v>
      </c>
      <c r="N99" s="5"/>
      <c r="O99" s="5"/>
    </row>
    <row r="100" customFormat="false" ht="35.05" hidden="false" customHeight="false" outlineLevel="0" collapsed="false">
      <c r="A100" s="5" t="s">
        <v>304</v>
      </c>
      <c r="B100" s="5" t="n">
        <v>3878</v>
      </c>
      <c r="C100" s="5" t="s">
        <v>436</v>
      </c>
      <c r="D100" s="5" t="s">
        <v>132</v>
      </c>
      <c r="E100" s="5"/>
      <c r="F100" s="5" t="s">
        <v>437</v>
      </c>
      <c r="G100" s="5" t="s">
        <v>85</v>
      </c>
      <c r="H100" s="5" t="s">
        <v>438</v>
      </c>
      <c r="I100" s="5" t="s">
        <v>439</v>
      </c>
      <c r="J100" s="5" t="s">
        <v>88</v>
      </c>
      <c r="K100" s="5" t="s">
        <v>89</v>
      </c>
      <c r="L100" s="5" t="s">
        <v>90</v>
      </c>
      <c r="M100" s="5" t="s">
        <v>91</v>
      </c>
      <c r="N100" s="5"/>
      <c r="O100" s="5"/>
    </row>
    <row r="101" customFormat="false" ht="35.05" hidden="false" customHeight="false" outlineLevel="0" collapsed="false">
      <c r="A101" s="5" t="s">
        <v>304</v>
      </c>
      <c r="B101" s="5" t="n">
        <v>3954</v>
      </c>
      <c r="C101" s="5" t="s">
        <v>440</v>
      </c>
      <c r="D101" s="5" t="s">
        <v>132</v>
      </c>
      <c r="E101" s="5"/>
      <c r="F101" s="5" t="s">
        <v>441</v>
      </c>
      <c r="G101" s="5" t="s">
        <v>119</v>
      </c>
      <c r="H101" s="5" t="s">
        <v>442</v>
      </c>
      <c r="I101" s="5" t="s">
        <v>140</v>
      </c>
      <c r="J101" s="5" t="s">
        <v>88</v>
      </c>
      <c r="K101" s="5" t="s">
        <v>89</v>
      </c>
      <c r="L101" s="5" t="s">
        <v>90</v>
      </c>
      <c r="M101" s="5" t="s">
        <v>91</v>
      </c>
      <c r="N101" s="5"/>
      <c r="O101" s="5"/>
    </row>
    <row r="102" customFormat="false" ht="35.05" hidden="false" customHeight="false" outlineLevel="0" collapsed="false">
      <c r="A102" s="5" t="s">
        <v>304</v>
      </c>
      <c r="B102" s="5" t="n">
        <v>3893</v>
      </c>
      <c r="C102" s="5" t="s">
        <v>443</v>
      </c>
      <c r="D102" s="5" t="s">
        <v>132</v>
      </c>
      <c r="E102" s="5"/>
      <c r="F102" s="5" t="s">
        <v>444</v>
      </c>
      <c r="G102" s="5"/>
      <c r="H102" s="5" t="s">
        <v>445</v>
      </c>
      <c r="I102" s="5" t="s">
        <v>165</v>
      </c>
      <c r="J102" s="5" t="s">
        <v>88</v>
      </c>
      <c r="K102" s="5" t="s">
        <v>89</v>
      </c>
      <c r="L102" s="5" t="s">
        <v>90</v>
      </c>
      <c r="M102" s="5" t="s">
        <v>91</v>
      </c>
      <c r="N102" s="5"/>
      <c r="O102" s="5"/>
    </row>
    <row r="103" customFormat="false" ht="35.05" hidden="false" customHeight="false" outlineLevel="0" collapsed="false">
      <c r="A103" s="5" t="s">
        <v>304</v>
      </c>
      <c r="B103" s="5" t="n">
        <v>3775</v>
      </c>
      <c r="C103" s="5" t="s">
        <v>446</v>
      </c>
      <c r="D103" s="5" t="s">
        <v>132</v>
      </c>
      <c r="E103" s="5" t="s">
        <v>147</v>
      </c>
      <c r="F103" s="5" t="s">
        <v>447</v>
      </c>
      <c r="G103" s="5" t="s">
        <v>119</v>
      </c>
      <c r="H103" s="5" t="s">
        <v>448</v>
      </c>
      <c r="I103" s="5" t="s">
        <v>387</v>
      </c>
      <c r="J103" s="5" t="s">
        <v>88</v>
      </c>
      <c r="K103" s="5" t="s">
        <v>89</v>
      </c>
      <c r="L103" s="5" t="s">
        <v>90</v>
      </c>
      <c r="M103" s="5" t="s">
        <v>91</v>
      </c>
      <c r="N103" s="5"/>
      <c r="O103" s="5"/>
    </row>
    <row r="104" customFormat="false" ht="35.05" hidden="false" customHeight="false" outlineLevel="0" collapsed="false">
      <c r="A104" s="5" t="s">
        <v>304</v>
      </c>
      <c r="B104" s="5" t="n">
        <v>3779</v>
      </c>
      <c r="C104" s="5" t="s">
        <v>449</v>
      </c>
      <c r="D104" s="5" t="s">
        <v>132</v>
      </c>
      <c r="E104" s="5" t="s">
        <v>147</v>
      </c>
      <c r="F104" s="5" t="s">
        <v>450</v>
      </c>
      <c r="G104" s="5" t="s">
        <v>119</v>
      </c>
      <c r="H104" s="5" t="s">
        <v>451</v>
      </c>
      <c r="I104" s="5" t="s">
        <v>418</v>
      </c>
      <c r="J104" s="5" t="s">
        <v>88</v>
      </c>
      <c r="K104" s="5" t="s">
        <v>89</v>
      </c>
      <c r="L104" s="5" t="s">
        <v>90</v>
      </c>
      <c r="M104" s="5" t="s">
        <v>91</v>
      </c>
      <c r="N104" s="5"/>
      <c r="O104" s="5"/>
    </row>
    <row r="105" customFormat="false" ht="35.05" hidden="false" customHeight="false" outlineLevel="0" collapsed="false">
      <c r="A105" s="5" t="s">
        <v>304</v>
      </c>
      <c r="B105" s="5" t="n">
        <v>3827</v>
      </c>
      <c r="C105" s="5" t="s">
        <v>452</v>
      </c>
      <c r="D105" s="5" t="s">
        <v>178</v>
      </c>
      <c r="E105" s="5" t="s">
        <v>263</v>
      </c>
      <c r="F105" s="5" t="s">
        <v>453</v>
      </c>
      <c r="G105" s="5" t="s">
        <v>454</v>
      </c>
      <c r="H105" s="5" t="s">
        <v>455</v>
      </c>
      <c r="I105" s="5" t="s">
        <v>456</v>
      </c>
      <c r="J105" s="5" t="s">
        <v>88</v>
      </c>
      <c r="K105" s="5" t="s">
        <v>89</v>
      </c>
      <c r="L105" s="5" t="s">
        <v>130</v>
      </c>
      <c r="M105" s="5" t="s">
        <v>91</v>
      </c>
      <c r="N105" s="5"/>
      <c r="O105" s="5"/>
    </row>
    <row r="106" customFormat="false" ht="35.05" hidden="false" customHeight="false" outlineLevel="0" collapsed="false">
      <c r="A106" s="5" t="s">
        <v>304</v>
      </c>
      <c r="B106" s="5" t="n">
        <v>3871</v>
      </c>
      <c r="C106" s="5" t="s">
        <v>457</v>
      </c>
      <c r="D106" s="5" t="s">
        <v>178</v>
      </c>
      <c r="E106" s="5"/>
      <c r="F106" s="5" t="s">
        <v>458</v>
      </c>
      <c r="G106" s="5" t="s">
        <v>459</v>
      </c>
      <c r="H106" s="5" t="s">
        <v>460</v>
      </c>
      <c r="I106" s="5" t="s">
        <v>461</v>
      </c>
      <c r="J106" s="5" t="s">
        <v>88</v>
      </c>
      <c r="K106" s="5" t="s">
        <v>89</v>
      </c>
      <c r="L106" s="5" t="s">
        <v>90</v>
      </c>
      <c r="M106" s="5" t="s">
        <v>91</v>
      </c>
      <c r="N106" s="5"/>
      <c r="O106" s="5"/>
    </row>
    <row r="107" customFormat="false" ht="35.05" hidden="false" customHeight="false" outlineLevel="0" collapsed="false">
      <c r="A107" s="5" t="s">
        <v>304</v>
      </c>
      <c r="B107" s="5" t="n">
        <v>4153</v>
      </c>
      <c r="C107" s="5" t="s">
        <v>462</v>
      </c>
      <c r="D107" s="5" t="s">
        <v>178</v>
      </c>
      <c r="E107" s="5"/>
      <c r="F107" s="5" t="s">
        <v>463</v>
      </c>
      <c r="G107" s="5" t="s">
        <v>464</v>
      </c>
      <c r="H107" s="5" t="s">
        <v>465</v>
      </c>
      <c r="I107" s="5" t="s">
        <v>466</v>
      </c>
      <c r="J107" s="5" t="s">
        <v>88</v>
      </c>
      <c r="K107" s="5" t="s">
        <v>89</v>
      </c>
      <c r="L107" s="5" t="s">
        <v>90</v>
      </c>
      <c r="M107" s="5" t="s">
        <v>91</v>
      </c>
      <c r="N107" s="5"/>
      <c r="O107" s="5"/>
    </row>
    <row r="108" customFormat="false" ht="35.05" hidden="false" customHeight="false" outlineLevel="0" collapsed="false">
      <c r="A108" s="5" t="s">
        <v>304</v>
      </c>
      <c r="B108" s="5" t="n">
        <v>3846</v>
      </c>
      <c r="C108" s="5" t="s">
        <v>467</v>
      </c>
      <c r="D108" s="5" t="s">
        <v>178</v>
      </c>
      <c r="E108" s="5"/>
      <c r="F108" s="5" t="s">
        <v>468</v>
      </c>
      <c r="G108" s="5" t="s">
        <v>469</v>
      </c>
      <c r="H108" s="5" t="s">
        <v>470</v>
      </c>
      <c r="I108" s="5" t="s">
        <v>471</v>
      </c>
      <c r="J108" s="5" t="s">
        <v>88</v>
      </c>
      <c r="K108" s="5" t="s">
        <v>89</v>
      </c>
      <c r="L108" s="5" t="s">
        <v>90</v>
      </c>
      <c r="M108" s="5" t="s">
        <v>91</v>
      </c>
      <c r="N108" s="5"/>
      <c r="O108" s="5"/>
    </row>
    <row r="109" customFormat="false" ht="35.05" hidden="false" customHeight="false" outlineLevel="0" collapsed="false">
      <c r="A109" s="5" t="s">
        <v>304</v>
      </c>
      <c r="B109" s="5" t="n">
        <v>3914</v>
      </c>
      <c r="C109" s="5" t="s">
        <v>472</v>
      </c>
      <c r="D109" s="5" t="s">
        <v>178</v>
      </c>
      <c r="E109" s="5"/>
      <c r="F109" s="5" t="s">
        <v>473</v>
      </c>
      <c r="G109" s="5"/>
      <c r="H109" s="5" t="s">
        <v>474</v>
      </c>
      <c r="I109" s="5" t="s">
        <v>475</v>
      </c>
      <c r="J109" s="5" t="s">
        <v>88</v>
      </c>
      <c r="K109" s="5" t="s">
        <v>89</v>
      </c>
      <c r="L109" s="5" t="s">
        <v>90</v>
      </c>
      <c r="M109" s="5" t="s">
        <v>91</v>
      </c>
      <c r="N109" s="5"/>
      <c r="O109" s="5"/>
    </row>
    <row r="110" customFormat="false" ht="35.05" hidden="false" customHeight="false" outlineLevel="0" collapsed="false">
      <c r="A110" s="5" t="s">
        <v>304</v>
      </c>
      <c r="B110" s="5" t="n">
        <v>3728</v>
      </c>
      <c r="C110" s="5" t="s">
        <v>476</v>
      </c>
      <c r="D110" s="5" t="s">
        <v>178</v>
      </c>
      <c r="E110" s="5" t="s">
        <v>477</v>
      </c>
      <c r="F110" s="5" t="s">
        <v>478</v>
      </c>
      <c r="G110" s="5" t="s">
        <v>459</v>
      </c>
      <c r="H110" s="5" t="s">
        <v>479</v>
      </c>
      <c r="I110" s="5" t="s">
        <v>461</v>
      </c>
      <c r="J110" s="5" t="s">
        <v>88</v>
      </c>
      <c r="K110" s="5" t="s">
        <v>89</v>
      </c>
      <c r="L110" s="5" t="s">
        <v>90</v>
      </c>
      <c r="M110" s="5" t="s">
        <v>91</v>
      </c>
      <c r="N110" s="5"/>
      <c r="O110" s="5"/>
    </row>
    <row r="111" customFormat="false" ht="35.05" hidden="false" customHeight="false" outlineLevel="0" collapsed="false">
      <c r="A111" s="5" t="s">
        <v>304</v>
      </c>
      <c r="B111" s="5" t="n">
        <v>3962</v>
      </c>
      <c r="C111" s="5" t="s">
        <v>480</v>
      </c>
      <c r="D111" s="5" t="s">
        <v>178</v>
      </c>
      <c r="E111" s="5"/>
      <c r="F111" s="5" t="s">
        <v>481</v>
      </c>
      <c r="G111" s="5" t="s">
        <v>482</v>
      </c>
      <c r="H111" s="5" t="s">
        <v>483</v>
      </c>
      <c r="I111" s="5" t="s">
        <v>484</v>
      </c>
      <c r="J111" s="5" t="s">
        <v>88</v>
      </c>
      <c r="K111" s="5" t="s">
        <v>89</v>
      </c>
      <c r="L111" s="5" t="s">
        <v>130</v>
      </c>
      <c r="M111" s="5" t="s">
        <v>91</v>
      </c>
      <c r="N111" s="5"/>
      <c r="O111" s="5"/>
    </row>
    <row r="112" customFormat="false" ht="35.05" hidden="false" customHeight="false" outlineLevel="0" collapsed="false">
      <c r="A112" s="5" t="s">
        <v>304</v>
      </c>
      <c r="B112" s="5" t="n">
        <v>3926</v>
      </c>
      <c r="C112" s="5" t="s">
        <v>485</v>
      </c>
      <c r="D112" s="5" t="s">
        <v>178</v>
      </c>
      <c r="E112" s="5"/>
      <c r="F112" s="5" t="s">
        <v>486</v>
      </c>
      <c r="G112" s="5" t="s">
        <v>487</v>
      </c>
      <c r="H112" s="5" t="s">
        <v>488</v>
      </c>
      <c r="I112" s="5" t="s">
        <v>489</v>
      </c>
      <c r="J112" s="5" t="s">
        <v>88</v>
      </c>
      <c r="K112" s="5" t="s">
        <v>89</v>
      </c>
      <c r="L112" s="5" t="s">
        <v>90</v>
      </c>
      <c r="M112" s="5" t="s">
        <v>91</v>
      </c>
      <c r="N112" s="5"/>
      <c r="O112" s="5"/>
    </row>
    <row r="113" customFormat="false" ht="35.05" hidden="false" customHeight="false" outlineLevel="0" collapsed="false">
      <c r="A113" s="5" t="s">
        <v>304</v>
      </c>
      <c r="B113" s="5" t="n">
        <v>3735</v>
      </c>
      <c r="C113" s="5" t="s">
        <v>490</v>
      </c>
      <c r="D113" s="5" t="s">
        <v>178</v>
      </c>
      <c r="E113" s="5" t="s">
        <v>263</v>
      </c>
      <c r="F113" s="5" t="s">
        <v>491</v>
      </c>
      <c r="G113" s="5" t="s">
        <v>492</v>
      </c>
      <c r="H113" s="5" t="s">
        <v>493</v>
      </c>
      <c r="I113" s="5" t="s">
        <v>494</v>
      </c>
      <c r="J113" s="5" t="s">
        <v>88</v>
      </c>
      <c r="K113" s="5" t="s">
        <v>89</v>
      </c>
      <c r="L113" s="5" t="s">
        <v>90</v>
      </c>
      <c r="M113" s="5" t="s">
        <v>91</v>
      </c>
      <c r="N113" s="5"/>
      <c r="O113" s="5"/>
    </row>
    <row r="114" customFormat="false" ht="35.05" hidden="false" customHeight="false" outlineLevel="0" collapsed="false">
      <c r="A114" s="5" t="s">
        <v>304</v>
      </c>
      <c r="B114" s="5" t="n">
        <v>3911</v>
      </c>
      <c r="C114" s="5" t="s">
        <v>495</v>
      </c>
      <c r="D114" s="5" t="s">
        <v>178</v>
      </c>
      <c r="E114" s="5"/>
      <c r="F114" s="5" t="s">
        <v>496</v>
      </c>
      <c r="G114" s="5" t="s">
        <v>497</v>
      </c>
      <c r="H114" s="5" t="s">
        <v>498</v>
      </c>
      <c r="I114" s="5" t="s">
        <v>499</v>
      </c>
      <c r="J114" s="5" t="s">
        <v>88</v>
      </c>
      <c r="K114" s="5" t="s">
        <v>89</v>
      </c>
      <c r="L114" s="5" t="s">
        <v>90</v>
      </c>
      <c r="M114" s="5" t="s">
        <v>91</v>
      </c>
      <c r="N114" s="5"/>
      <c r="O114" s="5"/>
    </row>
    <row r="115" customFormat="false" ht="35.05" hidden="false" customHeight="false" outlineLevel="0" collapsed="false">
      <c r="A115" s="5" t="s">
        <v>304</v>
      </c>
      <c r="B115" s="5" t="n">
        <v>3749</v>
      </c>
      <c r="C115" s="5" t="s">
        <v>500</v>
      </c>
      <c r="D115" s="5" t="s">
        <v>178</v>
      </c>
      <c r="E115" s="5" t="s">
        <v>501</v>
      </c>
      <c r="F115" s="5" t="s">
        <v>502</v>
      </c>
      <c r="G115" s="5"/>
      <c r="H115" s="5" t="s">
        <v>503</v>
      </c>
      <c r="I115" s="5" t="s">
        <v>202</v>
      </c>
      <c r="J115" s="5" t="s">
        <v>88</v>
      </c>
      <c r="K115" s="5" t="s">
        <v>89</v>
      </c>
      <c r="L115" s="5" t="s">
        <v>90</v>
      </c>
      <c r="M115" s="5" t="s">
        <v>91</v>
      </c>
      <c r="N115" s="5"/>
      <c r="O115" s="5"/>
    </row>
    <row r="116" customFormat="false" ht="35.05" hidden="false" customHeight="false" outlineLevel="0" collapsed="false">
      <c r="A116" s="5" t="s">
        <v>304</v>
      </c>
      <c r="B116" s="5" t="n">
        <v>3752</v>
      </c>
      <c r="C116" s="5" t="s">
        <v>504</v>
      </c>
      <c r="D116" s="5" t="s">
        <v>178</v>
      </c>
      <c r="E116" s="5" t="s">
        <v>501</v>
      </c>
      <c r="F116" s="5" t="s">
        <v>505</v>
      </c>
      <c r="G116" s="5" t="s">
        <v>492</v>
      </c>
      <c r="H116" s="5" t="s">
        <v>506</v>
      </c>
      <c r="I116" s="5" t="s">
        <v>494</v>
      </c>
      <c r="J116" s="5" t="s">
        <v>88</v>
      </c>
      <c r="K116" s="5" t="s">
        <v>89</v>
      </c>
      <c r="L116" s="5" t="s">
        <v>90</v>
      </c>
      <c r="M116" s="5" t="s">
        <v>91</v>
      </c>
      <c r="N116" s="5"/>
      <c r="O116" s="5"/>
    </row>
    <row r="117" customFormat="false" ht="35.05" hidden="false" customHeight="false" outlineLevel="0" collapsed="false">
      <c r="A117" s="5" t="s">
        <v>304</v>
      </c>
      <c r="B117" s="5" t="n">
        <v>3753</v>
      </c>
      <c r="C117" s="5" t="s">
        <v>507</v>
      </c>
      <c r="D117" s="5" t="s">
        <v>178</v>
      </c>
      <c r="E117" s="5" t="s">
        <v>501</v>
      </c>
      <c r="F117" s="5" t="s">
        <v>508</v>
      </c>
      <c r="G117" s="5"/>
      <c r="H117" s="5" t="s">
        <v>509</v>
      </c>
      <c r="I117" s="5" t="s">
        <v>202</v>
      </c>
      <c r="J117" s="5" t="s">
        <v>88</v>
      </c>
      <c r="K117" s="5" t="s">
        <v>89</v>
      </c>
      <c r="L117" s="5" t="s">
        <v>90</v>
      </c>
      <c r="M117" s="5" t="s">
        <v>91</v>
      </c>
      <c r="N117" s="5"/>
      <c r="O117" s="5"/>
    </row>
    <row r="118" customFormat="false" ht="35.05" hidden="false" customHeight="false" outlineLevel="0" collapsed="false">
      <c r="A118" s="5" t="s">
        <v>304</v>
      </c>
      <c r="B118" s="5" t="n">
        <v>3756</v>
      </c>
      <c r="C118" s="5" t="s">
        <v>510</v>
      </c>
      <c r="D118" s="5" t="s">
        <v>178</v>
      </c>
      <c r="E118" s="5" t="s">
        <v>501</v>
      </c>
      <c r="F118" s="5" t="s">
        <v>511</v>
      </c>
      <c r="G118" s="5"/>
      <c r="H118" s="5" t="s">
        <v>512</v>
      </c>
      <c r="I118" s="5" t="s">
        <v>202</v>
      </c>
      <c r="J118" s="5" t="s">
        <v>88</v>
      </c>
      <c r="K118" s="5" t="s">
        <v>89</v>
      </c>
      <c r="L118" s="5" t="s">
        <v>90</v>
      </c>
      <c r="M118" s="5" t="s">
        <v>91</v>
      </c>
      <c r="N118" s="5"/>
      <c r="O118" s="5"/>
    </row>
    <row r="119" customFormat="false" ht="35.05" hidden="false" customHeight="false" outlineLevel="0" collapsed="false">
      <c r="A119" s="5" t="s">
        <v>304</v>
      </c>
      <c r="B119" s="5" t="n">
        <v>4147</v>
      </c>
      <c r="C119" s="5" t="s">
        <v>513</v>
      </c>
      <c r="D119" s="5" t="s">
        <v>514</v>
      </c>
      <c r="E119" s="5"/>
      <c r="F119" s="5" t="s">
        <v>515</v>
      </c>
      <c r="G119" s="5" t="s">
        <v>516</v>
      </c>
      <c r="H119" s="5" t="s">
        <v>517</v>
      </c>
      <c r="I119" s="5" t="s">
        <v>518</v>
      </c>
      <c r="J119" s="5" t="s">
        <v>88</v>
      </c>
      <c r="K119" s="5" t="s">
        <v>89</v>
      </c>
      <c r="L119" s="5" t="s">
        <v>90</v>
      </c>
      <c r="M119" s="5" t="s">
        <v>91</v>
      </c>
      <c r="N119" s="5"/>
      <c r="O119" s="5"/>
    </row>
    <row r="120" customFormat="false" ht="35.05" hidden="false" customHeight="false" outlineLevel="0" collapsed="false">
      <c r="A120" s="5" t="s">
        <v>304</v>
      </c>
      <c r="B120" s="5" t="n">
        <v>3688</v>
      </c>
      <c r="C120" s="5" t="s">
        <v>519</v>
      </c>
      <c r="D120" s="5" t="s">
        <v>514</v>
      </c>
      <c r="E120" s="5" t="s">
        <v>520</v>
      </c>
      <c r="F120" s="5" t="s">
        <v>521</v>
      </c>
      <c r="G120" s="5" t="s">
        <v>522</v>
      </c>
      <c r="H120" s="5" t="s">
        <v>523</v>
      </c>
      <c r="I120" s="5" t="s">
        <v>524</v>
      </c>
      <c r="J120" s="5" t="s">
        <v>88</v>
      </c>
      <c r="K120" s="5" t="s">
        <v>89</v>
      </c>
      <c r="L120" s="5" t="s">
        <v>90</v>
      </c>
      <c r="M120" s="5" t="s">
        <v>91</v>
      </c>
      <c r="N120" s="5"/>
      <c r="O120" s="5"/>
    </row>
    <row r="121" customFormat="false" ht="35.05" hidden="false" customHeight="false" outlineLevel="0" collapsed="false">
      <c r="A121" s="5" t="s">
        <v>304</v>
      </c>
      <c r="B121" s="5" t="n">
        <v>3573</v>
      </c>
      <c r="C121" s="5" t="s">
        <v>525</v>
      </c>
      <c r="D121" s="5" t="s">
        <v>207</v>
      </c>
      <c r="E121" s="5"/>
      <c r="F121" s="5" t="s">
        <v>526</v>
      </c>
      <c r="G121" s="5" t="s">
        <v>134</v>
      </c>
      <c r="H121" s="5" t="s">
        <v>527</v>
      </c>
      <c r="I121" s="5" t="s">
        <v>528</v>
      </c>
      <c r="J121" s="5" t="s">
        <v>88</v>
      </c>
      <c r="K121" s="5" t="s">
        <v>89</v>
      </c>
      <c r="L121" s="5" t="s">
        <v>90</v>
      </c>
      <c r="M121" s="5" t="s">
        <v>91</v>
      </c>
      <c r="N121" s="5"/>
      <c r="O121" s="5"/>
    </row>
    <row r="122" customFormat="false" ht="35.05" hidden="false" customHeight="false" outlineLevel="0" collapsed="false">
      <c r="A122" s="5" t="s">
        <v>304</v>
      </c>
      <c r="B122" s="5" t="n">
        <v>3611</v>
      </c>
      <c r="C122" s="5" t="s">
        <v>529</v>
      </c>
      <c r="D122" s="5" t="s">
        <v>237</v>
      </c>
      <c r="E122" s="5"/>
      <c r="F122" s="5" t="s">
        <v>530</v>
      </c>
      <c r="G122" s="5"/>
      <c r="H122" s="5" t="s">
        <v>531</v>
      </c>
      <c r="I122" s="5" t="s">
        <v>532</v>
      </c>
      <c r="J122" s="5" t="s">
        <v>88</v>
      </c>
      <c r="K122" s="5" t="s">
        <v>89</v>
      </c>
      <c r="L122" s="5" t="s">
        <v>90</v>
      </c>
      <c r="M122" s="5" t="s">
        <v>91</v>
      </c>
      <c r="N122" s="5"/>
      <c r="O122" s="5"/>
    </row>
    <row r="123" customFormat="false" ht="35.05" hidden="false" customHeight="false" outlineLevel="0" collapsed="false">
      <c r="A123" s="5" t="s">
        <v>304</v>
      </c>
      <c r="B123" s="5" t="n">
        <v>3945</v>
      </c>
      <c r="C123" s="5" t="s">
        <v>533</v>
      </c>
      <c r="D123" s="5" t="s">
        <v>237</v>
      </c>
      <c r="E123" s="5"/>
      <c r="F123" s="5" t="s">
        <v>534</v>
      </c>
      <c r="G123" s="5"/>
      <c r="H123" s="5" t="s">
        <v>535</v>
      </c>
      <c r="I123" s="5" t="s">
        <v>532</v>
      </c>
      <c r="J123" s="5" t="s">
        <v>88</v>
      </c>
      <c r="K123" s="5" t="s">
        <v>89</v>
      </c>
      <c r="L123" s="5" t="s">
        <v>90</v>
      </c>
      <c r="M123" s="5" t="s">
        <v>91</v>
      </c>
      <c r="N123" s="5"/>
      <c r="O123" s="5"/>
    </row>
    <row r="124" customFormat="false" ht="35.05" hidden="false" customHeight="false" outlineLevel="0" collapsed="false">
      <c r="A124" s="5" t="s">
        <v>304</v>
      </c>
      <c r="B124" s="5" t="n">
        <v>3614</v>
      </c>
      <c r="C124" s="5" t="s">
        <v>536</v>
      </c>
      <c r="D124" s="5" t="s">
        <v>237</v>
      </c>
      <c r="E124" s="5"/>
      <c r="F124" s="5" t="s">
        <v>537</v>
      </c>
      <c r="G124" s="5"/>
      <c r="H124" s="5" t="s">
        <v>538</v>
      </c>
      <c r="I124" s="5" t="s">
        <v>241</v>
      </c>
      <c r="J124" s="5" t="s">
        <v>88</v>
      </c>
      <c r="K124" s="5" t="s">
        <v>89</v>
      </c>
      <c r="L124" s="5" t="s">
        <v>90</v>
      </c>
      <c r="M124" s="5" t="s">
        <v>91</v>
      </c>
      <c r="N124" s="5"/>
      <c r="O124" s="5"/>
    </row>
    <row r="125" customFormat="false" ht="35.05" hidden="false" customHeight="false" outlineLevel="0" collapsed="false">
      <c r="A125" s="5" t="s">
        <v>304</v>
      </c>
      <c r="B125" s="5" t="n">
        <v>3616</v>
      </c>
      <c r="C125" s="5" t="s">
        <v>539</v>
      </c>
      <c r="D125" s="5" t="s">
        <v>237</v>
      </c>
      <c r="E125" s="5"/>
      <c r="F125" s="5" t="s">
        <v>540</v>
      </c>
      <c r="G125" s="5" t="s">
        <v>541</v>
      </c>
      <c r="H125" s="5" t="s">
        <v>542</v>
      </c>
      <c r="I125" s="5" t="s">
        <v>543</v>
      </c>
      <c r="J125" s="5" t="s">
        <v>88</v>
      </c>
      <c r="K125" s="5" t="s">
        <v>89</v>
      </c>
      <c r="L125" s="5" t="s">
        <v>90</v>
      </c>
      <c r="M125" s="5" t="s">
        <v>91</v>
      </c>
      <c r="N125" s="5"/>
      <c r="O125" s="5"/>
    </row>
    <row r="126" customFormat="false" ht="35.05" hidden="false" customHeight="false" outlineLevel="0" collapsed="false">
      <c r="A126" s="5" t="s">
        <v>304</v>
      </c>
      <c r="B126" s="5" t="n">
        <v>3951</v>
      </c>
      <c r="C126" s="5" t="s">
        <v>544</v>
      </c>
      <c r="D126" s="5" t="s">
        <v>237</v>
      </c>
      <c r="E126" s="5"/>
      <c r="F126" s="5" t="s">
        <v>545</v>
      </c>
      <c r="G126" s="5"/>
      <c r="H126" s="5" t="s">
        <v>546</v>
      </c>
      <c r="I126" s="5" t="s">
        <v>547</v>
      </c>
      <c r="J126" s="5" t="s">
        <v>88</v>
      </c>
      <c r="K126" s="5" t="s">
        <v>89</v>
      </c>
      <c r="L126" s="5" t="s">
        <v>90</v>
      </c>
      <c r="M126" s="5" t="s">
        <v>91</v>
      </c>
      <c r="N126" s="5"/>
      <c r="O126" s="5"/>
    </row>
    <row r="127" customFormat="false" ht="35.05" hidden="false" customHeight="false" outlineLevel="0" collapsed="false">
      <c r="A127" s="5" t="s">
        <v>304</v>
      </c>
      <c r="B127" s="5" t="n">
        <v>3628</v>
      </c>
      <c r="C127" s="5" t="s">
        <v>262</v>
      </c>
      <c r="D127" s="5" t="s">
        <v>237</v>
      </c>
      <c r="E127" s="5"/>
      <c r="F127" s="5" t="s">
        <v>548</v>
      </c>
      <c r="G127" s="5"/>
      <c r="H127" s="5" t="s">
        <v>549</v>
      </c>
      <c r="I127" s="5" t="s">
        <v>532</v>
      </c>
      <c r="J127" s="5" t="s">
        <v>88</v>
      </c>
      <c r="K127" s="5" t="s">
        <v>89</v>
      </c>
      <c r="L127" s="5" t="s">
        <v>90</v>
      </c>
      <c r="M127" s="5" t="s">
        <v>91</v>
      </c>
      <c r="N127" s="5"/>
      <c r="O127" s="5"/>
    </row>
    <row r="128" customFormat="false" ht="35.05" hidden="false" customHeight="false" outlineLevel="0" collapsed="false">
      <c r="A128" s="5" t="s">
        <v>304</v>
      </c>
      <c r="B128" s="5" t="n">
        <v>4142</v>
      </c>
      <c r="C128" s="5" t="s">
        <v>550</v>
      </c>
      <c r="D128" s="5" t="s">
        <v>267</v>
      </c>
      <c r="E128" s="5" t="s">
        <v>268</v>
      </c>
      <c r="F128" s="5" t="s">
        <v>551</v>
      </c>
      <c r="G128" s="5"/>
      <c r="H128" s="5" t="s">
        <v>552</v>
      </c>
      <c r="I128" s="5" t="s">
        <v>553</v>
      </c>
      <c r="J128" s="5" t="s">
        <v>88</v>
      </c>
      <c r="K128" s="5" t="s">
        <v>89</v>
      </c>
      <c r="L128" s="5" t="s">
        <v>90</v>
      </c>
      <c r="M128" s="5" t="s">
        <v>91</v>
      </c>
      <c r="N128" s="5"/>
      <c r="O128" s="5"/>
    </row>
    <row r="129" customFormat="false" ht="35.05" hidden="false" customHeight="false" outlineLevel="0" collapsed="false">
      <c r="A129" s="5" t="s">
        <v>304</v>
      </c>
      <c r="B129" s="5" t="n">
        <v>3814</v>
      </c>
      <c r="C129" s="5" t="s">
        <v>554</v>
      </c>
      <c r="D129" s="5" t="s">
        <v>267</v>
      </c>
      <c r="E129" s="5" t="s">
        <v>268</v>
      </c>
      <c r="F129" s="5" t="s">
        <v>555</v>
      </c>
      <c r="G129" s="5"/>
      <c r="H129" s="5" t="s">
        <v>556</v>
      </c>
      <c r="I129" s="5" t="s">
        <v>557</v>
      </c>
      <c r="J129" s="5" t="s">
        <v>88</v>
      </c>
      <c r="K129" s="5" t="s">
        <v>89</v>
      </c>
      <c r="L129" s="5" t="s">
        <v>90</v>
      </c>
      <c r="M129" s="5" t="s">
        <v>91</v>
      </c>
      <c r="N129" s="5"/>
      <c r="O129" s="5"/>
    </row>
    <row r="130" customFormat="false" ht="35.05" hidden="false" customHeight="false" outlineLevel="0" collapsed="false">
      <c r="A130" s="5" t="s">
        <v>304</v>
      </c>
      <c r="B130" s="5" t="n">
        <v>3805</v>
      </c>
      <c r="C130" s="5" t="s">
        <v>558</v>
      </c>
      <c r="D130" s="5" t="s">
        <v>267</v>
      </c>
      <c r="E130" s="5" t="s">
        <v>297</v>
      </c>
      <c r="F130" s="5" t="s">
        <v>559</v>
      </c>
      <c r="G130" s="5" t="s">
        <v>190</v>
      </c>
      <c r="H130" s="5" t="s">
        <v>560</v>
      </c>
      <c r="I130" s="5" t="s">
        <v>561</v>
      </c>
      <c r="J130" s="5" t="s">
        <v>88</v>
      </c>
      <c r="K130" s="5" t="s">
        <v>89</v>
      </c>
      <c r="L130" s="5" t="s">
        <v>90</v>
      </c>
      <c r="M130" s="5" t="s">
        <v>91</v>
      </c>
      <c r="N130" s="5"/>
      <c r="O130" s="5"/>
    </row>
    <row r="131" customFormat="false" ht="35.05" hidden="false" customHeight="false" outlineLevel="0" collapsed="false">
      <c r="A131" s="5" t="s">
        <v>304</v>
      </c>
      <c r="B131" s="5" t="n">
        <v>3815</v>
      </c>
      <c r="C131" s="5" t="s">
        <v>562</v>
      </c>
      <c r="D131" s="5" t="s">
        <v>267</v>
      </c>
      <c r="E131" s="5" t="s">
        <v>297</v>
      </c>
      <c r="F131" s="5" t="s">
        <v>563</v>
      </c>
      <c r="G131" s="5" t="s">
        <v>190</v>
      </c>
      <c r="H131" s="5" t="s">
        <v>564</v>
      </c>
      <c r="I131" s="5" t="s">
        <v>565</v>
      </c>
      <c r="J131" s="5" t="s">
        <v>88</v>
      </c>
      <c r="K131" s="5" t="s">
        <v>89</v>
      </c>
      <c r="L131" s="5" t="s">
        <v>90</v>
      </c>
      <c r="M131" s="5" t="s">
        <v>91</v>
      </c>
      <c r="N131" s="5"/>
      <c r="O131" s="5"/>
    </row>
    <row r="132" customFormat="false" ht="35.05" hidden="false" customHeight="false" outlineLevel="0" collapsed="false">
      <c r="A132" s="5" t="s">
        <v>304</v>
      </c>
      <c r="B132" s="5" t="n">
        <v>4107</v>
      </c>
      <c r="C132" s="5" t="s">
        <v>262</v>
      </c>
      <c r="D132" s="5" t="s">
        <v>267</v>
      </c>
      <c r="E132" s="5" t="s">
        <v>297</v>
      </c>
      <c r="F132" s="5" t="s">
        <v>566</v>
      </c>
      <c r="G132" s="5" t="s">
        <v>567</v>
      </c>
      <c r="H132" s="5" t="s">
        <v>568</v>
      </c>
      <c r="I132" s="5" t="s">
        <v>569</v>
      </c>
      <c r="J132" s="5" t="s">
        <v>88</v>
      </c>
      <c r="K132" s="5" t="s">
        <v>89</v>
      </c>
      <c r="L132" s="5" t="s">
        <v>90</v>
      </c>
      <c r="M132" s="5" t="s">
        <v>91</v>
      </c>
      <c r="N132" s="5"/>
      <c r="O132" s="5"/>
    </row>
    <row r="133" customFormat="false" ht="35.05" hidden="false" customHeight="false" outlineLevel="0" collapsed="false">
      <c r="A133" s="5" t="s">
        <v>304</v>
      </c>
      <c r="B133" s="5" t="n">
        <v>3807</v>
      </c>
      <c r="C133" s="5" t="s">
        <v>570</v>
      </c>
      <c r="D133" s="5" t="s">
        <v>267</v>
      </c>
      <c r="E133" s="5" t="s">
        <v>297</v>
      </c>
      <c r="F133" s="5" t="s">
        <v>571</v>
      </c>
      <c r="G133" s="5" t="s">
        <v>190</v>
      </c>
      <c r="H133" s="5" t="s">
        <v>572</v>
      </c>
      <c r="I133" s="5" t="s">
        <v>561</v>
      </c>
      <c r="J133" s="5" t="s">
        <v>88</v>
      </c>
      <c r="K133" s="5" t="s">
        <v>89</v>
      </c>
      <c r="L133" s="5" t="s">
        <v>90</v>
      </c>
      <c r="M133" s="5" t="s">
        <v>91</v>
      </c>
      <c r="N133" s="5"/>
      <c r="O133" s="5"/>
    </row>
    <row r="134" customFormat="false" ht="35.05" hidden="false" customHeight="false" outlineLevel="0" collapsed="false">
      <c r="A134" s="5" t="s">
        <v>304</v>
      </c>
      <c r="B134" s="5" t="n">
        <v>3791</v>
      </c>
      <c r="C134" s="5" t="s">
        <v>573</v>
      </c>
      <c r="D134" s="5" t="s">
        <v>267</v>
      </c>
      <c r="E134" s="5" t="s">
        <v>297</v>
      </c>
      <c r="F134" s="5" t="s">
        <v>574</v>
      </c>
      <c r="G134" s="5" t="s">
        <v>190</v>
      </c>
      <c r="H134" s="5" t="s">
        <v>575</v>
      </c>
      <c r="I134" s="5" t="s">
        <v>565</v>
      </c>
      <c r="J134" s="5" t="s">
        <v>88</v>
      </c>
      <c r="K134" s="5" t="s">
        <v>89</v>
      </c>
      <c r="L134" s="5" t="s">
        <v>90</v>
      </c>
      <c r="M134" s="5" t="s">
        <v>91</v>
      </c>
      <c r="N134" s="5"/>
      <c r="O134" s="5"/>
    </row>
    <row r="135" customFormat="false" ht="35.05" hidden="false" customHeight="false" outlineLevel="0" collapsed="false">
      <c r="A135" s="5" t="s">
        <v>304</v>
      </c>
      <c r="B135" s="5" t="n">
        <v>3819</v>
      </c>
      <c r="C135" s="5" t="s">
        <v>576</v>
      </c>
      <c r="D135" s="5" t="s">
        <v>267</v>
      </c>
      <c r="E135" s="5" t="s">
        <v>297</v>
      </c>
      <c r="F135" s="5" t="s">
        <v>577</v>
      </c>
      <c r="G135" s="5" t="s">
        <v>190</v>
      </c>
      <c r="H135" s="5" t="s">
        <v>578</v>
      </c>
      <c r="I135" s="5" t="s">
        <v>565</v>
      </c>
      <c r="J135" s="5" t="s">
        <v>88</v>
      </c>
      <c r="K135" s="5" t="s">
        <v>89</v>
      </c>
      <c r="L135" s="5" t="s">
        <v>90</v>
      </c>
      <c r="M135" s="5" t="s">
        <v>91</v>
      </c>
      <c r="N135" s="5"/>
      <c r="O135" s="5"/>
    </row>
    <row r="136" customFormat="false" ht="35.05" hidden="false" customHeight="false" outlineLevel="0" collapsed="false">
      <c r="A136" s="5" t="s">
        <v>304</v>
      </c>
      <c r="B136" s="5" t="n">
        <v>3806</v>
      </c>
      <c r="C136" s="5" t="s">
        <v>579</v>
      </c>
      <c r="D136" s="5" t="s">
        <v>267</v>
      </c>
      <c r="E136" s="5" t="s">
        <v>297</v>
      </c>
      <c r="F136" s="5" t="s">
        <v>580</v>
      </c>
      <c r="G136" s="5" t="s">
        <v>190</v>
      </c>
      <c r="H136" s="5" t="s">
        <v>581</v>
      </c>
      <c r="I136" s="5" t="s">
        <v>561</v>
      </c>
      <c r="J136" s="5" t="s">
        <v>88</v>
      </c>
      <c r="K136" s="5" t="s">
        <v>89</v>
      </c>
      <c r="L136" s="5" t="s">
        <v>90</v>
      </c>
      <c r="M136" s="5" t="s">
        <v>91</v>
      </c>
      <c r="N136" s="5"/>
      <c r="O136" s="5"/>
    </row>
    <row r="137" customFormat="false" ht="35.05" hidden="false" customHeight="false" outlineLevel="0" collapsed="false">
      <c r="A137" s="5" t="s">
        <v>304</v>
      </c>
      <c r="B137" s="5" t="n">
        <v>4108</v>
      </c>
      <c r="C137" s="5" t="s">
        <v>262</v>
      </c>
      <c r="D137" s="5" t="s">
        <v>267</v>
      </c>
      <c r="E137" s="5" t="s">
        <v>297</v>
      </c>
      <c r="F137" s="5" t="s">
        <v>582</v>
      </c>
      <c r="G137" s="5" t="s">
        <v>567</v>
      </c>
      <c r="H137" s="5" t="s">
        <v>583</v>
      </c>
      <c r="I137" s="5" t="s">
        <v>569</v>
      </c>
      <c r="J137" s="5" t="s">
        <v>88</v>
      </c>
      <c r="K137" s="5" t="s">
        <v>89</v>
      </c>
      <c r="L137" s="5" t="s">
        <v>90</v>
      </c>
      <c r="M137" s="5" t="s">
        <v>91</v>
      </c>
      <c r="N137" s="5"/>
      <c r="O137" s="5"/>
    </row>
    <row r="138" customFormat="false" ht="35.05" hidden="false" customHeight="false" outlineLevel="0" collapsed="false">
      <c r="A138" s="5" t="s">
        <v>304</v>
      </c>
      <c r="B138" s="5" t="n">
        <v>3792</v>
      </c>
      <c r="C138" s="5" t="s">
        <v>584</v>
      </c>
      <c r="D138" s="5" t="s">
        <v>267</v>
      </c>
      <c r="E138" s="5" t="s">
        <v>297</v>
      </c>
      <c r="F138" s="5" t="s">
        <v>585</v>
      </c>
      <c r="G138" s="5" t="s">
        <v>190</v>
      </c>
      <c r="H138" s="5" t="s">
        <v>586</v>
      </c>
      <c r="I138" s="5" t="s">
        <v>565</v>
      </c>
      <c r="J138" s="5" t="s">
        <v>88</v>
      </c>
      <c r="K138" s="5" t="s">
        <v>89</v>
      </c>
      <c r="L138" s="5" t="s">
        <v>90</v>
      </c>
      <c r="M138" s="5" t="s">
        <v>91</v>
      </c>
      <c r="N138" s="5"/>
      <c r="O138" s="5"/>
    </row>
    <row r="139" customFormat="false" ht="35.05" hidden="false" customHeight="false" outlineLevel="0" collapsed="false">
      <c r="A139" s="5" t="s">
        <v>304</v>
      </c>
      <c r="B139" s="5" t="n">
        <v>3820</v>
      </c>
      <c r="C139" s="5" t="s">
        <v>587</v>
      </c>
      <c r="D139" s="5" t="s">
        <v>267</v>
      </c>
      <c r="E139" s="5" t="s">
        <v>297</v>
      </c>
      <c r="F139" s="5" t="s">
        <v>588</v>
      </c>
      <c r="G139" s="5" t="s">
        <v>190</v>
      </c>
      <c r="H139" s="5" t="s">
        <v>589</v>
      </c>
      <c r="I139" s="5" t="s">
        <v>565</v>
      </c>
      <c r="J139" s="5" t="s">
        <v>88</v>
      </c>
      <c r="K139" s="5" t="s">
        <v>89</v>
      </c>
      <c r="L139" s="5" t="s">
        <v>90</v>
      </c>
      <c r="M139" s="5" t="s">
        <v>91</v>
      </c>
      <c r="N139" s="5"/>
      <c r="O139" s="5"/>
    </row>
  </sheetData>
  <autoFilter ref="A4:O139"/>
  <mergeCells count="1">
    <mergeCell ref="A2:H2"/>
  </mergeCells>
  <dataValidations count="1">
    <dataValidation allowBlank="true" errorStyle="stop" operator="between" showDropDown="false" showErrorMessage="false" showInputMessage="false" sqref="M5:M139" type="list">
      <formula1>"Pendiente,En curso,Entregado,No aplica"</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4"/>
    <col collapsed="false" customWidth="true" hidden="false" outlineLevel="0" max="3" min="3" style="0" width="44"/>
    <col collapsed="false" customWidth="true" hidden="false" outlineLevel="0" max="4" min="4" style="0" width="22"/>
    <col collapsed="false" customWidth="true" hidden="false" outlineLevel="0" max="5" min="5" style="0" width="18"/>
    <col collapsed="false" customWidth="true" hidden="false" outlineLevel="0" max="6" min="6" style="0" width="44"/>
    <col collapsed="false" customWidth="true" hidden="false" outlineLevel="0" max="7" min="7" style="0" width="36"/>
    <col collapsed="false" customWidth="true" hidden="false" outlineLevel="0" max="8" min="8" style="0" width="12"/>
    <col collapsed="false" customWidth="true" hidden="false" outlineLevel="0" max="9" min="9" style="0" width="24"/>
  </cols>
  <sheetData>
    <row r="1" customFormat="false" ht="17.35" hidden="false" customHeight="false" outlineLevel="0" collapsed="false">
      <c r="A1" s="12" t="s">
        <v>590</v>
      </c>
    </row>
    <row r="2" customFormat="false" ht="42" hidden="false" customHeight="true" outlineLevel="0" collapsed="false">
      <c r="A2" s="15" t="s">
        <v>591</v>
      </c>
      <c r="B2" s="15"/>
      <c r="C2" s="15"/>
      <c r="D2" s="15"/>
      <c r="E2" s="15"/>
      <c r="F2" s="15"/>
      <c r="G2" s="15"/>
      <c r="H2" s="15"/>
    </row>
    <row r="4" customFormat="false" ht="30" hidden="false" customHeight="true" outlineLevel="0" collapsed="false">
      <c r="A4" s="3" t="s">
        <v>66</v>
      </c>
      <c r="B4" s="3" t="s">
        <v>67</v>
      </c>
      <c r="C4" s="3" t="s">
        <v>70</v>
      </c>
      <c r="D4" s="3" t="s">
        <v>592</v>
      </c>
      <c r="E4" s="3" t="s">
        <v>593</v>
      </c>
      <c r="F4" s="3" t="s">
        <v>594</v>
      </c>
      <c r="G4" s="3" t="s">
        <v>595</v>
      </c>
      <c r="H4" s="3" t="s">
        <v>77</v>
      </c>
      <c r="I4" s="3" t="s">
        <v>79</v>
      </c>
    </row>
    <row r="5" customFormat="false" ht="23.85" hidden="false" customHeight="false" outlineLevel="0" collapsed="false">
      <c r="A5" s="5" t="n">
        <v>3552</v>
      </c>
      <c r="B5" s="5" t="s">
        <v>596</v>
      </c>
      <c r="C5" s="5" t="s">
        <v>597</v>
      </c>
      <c r="D5" s="5" t="s">
        <v>598</v>
      </c>
      <c r="E5" s="5" t="s">
        <v>599</v>
      </c>
      <c r="F5" s="5" t="s">
        <v>600</v>
      </c>
      <c r="G5" s="5" t="s">
        <v>601</v>
      </c>
      <c r="H5" s="5" t="s">
        <v>91</v>
      </c>
      <c r="I5" s="5"/>
    </row>
    <row r="6" customFormat="false" ht="15" hidden="false" customHeight="false" outlineLevel="0" collapsed="false">
      <c r="A6" s="5" t="n">
        <v>3555</v>
      </c>
      <c r="B6" s="5" t="s">
        <v>602</v>
      </c>
      <c r="C6" s="5" t="s">
        <v>603</v>
      </c>
      <c r="D6" s="5" t="s">
        <v>604</v>
      </c>
      <c r="E6" s="5" t="s">
        <v>605</v>
      </c>
      <c r="F6" s="5" t="s">
        <v>606</v>
      </c>
      <c r="G6" s="5" t="s">
        <v>601</v>
      </c>
      <c r="H6" s="5" t="s">
        <v>91</v>
      </c>
      <c r="I6" s="5"/>
    </row>
    <row r="7" customFormat="false" ht="15" hidden="false" customHeight="false" outlineLevel="0" collapsed="false">
      <c r="A7" s="5" t="n">
        <v>3695</v>
      </c>
      <c r="B7" s="5" t="s">
        <v>607</v>
      </c>
      <c r="C7" s="5" t="s">
        <v>608</v>
      </c>
      <c r="D7" s="5" t="s">
        <v>609</v>
      </c>
      <c r="E7" s="5" t="s">
        <v>610</v>
      </c>
      <c r="F7" s="5" t="s">
        <v>606</v>
      </c>
      <c r="G7" s="5" t="s">
        <v>601</v>
      </c>
      <c r="H7" s="5" t="s">
        <v>91</v>
      </c>
      <c r="I7" s="5"/>
    </row>
    <row r="8" customFormat="false" ht="15" hidden="false" customHeight="false" outlineLevel="0" collapsed="false">
      <c r="A8" s="5" t="n">
        <v>3710</v>
      </c>
      <c r="B8" s="5" t="s">
        <v>611</v>
      </c>
      <c r="C8" s="5" t="s">
        <v>612</v>
      </c>
      <c r="D8" s="5" t="s">
        <v>613</v>
      </c>
      <c r="E8" s="5" t="s">
        <v>614</v>
      </c>
      <c r="F8" s="5" t="s">
        <v>606</v>
      </c>
      <c r="G8" s="5" t="s">
        <v>601</v>
      </c>
      <c r="H8" s="5" t="s">
        <v>91</v>
      </c>
      <c r="I8" s="5"/>
    </row>
    <row r="9" customFormat="false" ht="35.05" hidden="false" customHeight="false" outlineLevel="0" collapsed="false">
      <c r="A9" s="5" t="n">
        <v>3711</v>
      </c>
      <c r="B9" s="5" t="s">
        <v>615</v>
      </c>
      <c r="C9" s="5" t="s">
        <v>616</v>
      </c>
      <c r="D9" s="5" t="s">
        <v>617</v>
      </c>
      <c r="E9" s="5" t="s">
        <v>618</v>
      </c>
      <c r="F9" s="5" t="s">
        <v>619</v>
      </c>
      <c r="G9" s="5" t="s">
        <v>601</v>
      </c>
      <c r="H9" s="5" t="s">
        <v>91</v>
      </c>
      <c r="I9" s="5"/>
    </row>
    <row r="10" customFormat="false" ht="35.05" hidden="false" customHeight="false" outlineLevel="0" collapsed="false">
      <c r="A10" s="5" t="n">
        <v>3723</v>
      </c>
      <c r="B10" s="5" t="s">
        <v>620</v>
      </c>
      <c r="C10" s="5" t="s">
        <v>621</v>
      </c>
      <c r="D10" s="5" t="s">
        <v>622</v>
      </c>
      <c r="E10" s="5" t="s">
        <v>623</v>
      </c>
      <c r="F10" s="5" t="s">
        <v>619</v>
      </c>
      <c r="G10" s="5" t="s">
        <v>601</v>
      </c>
      <c r="H10" s="5" t="s">
        <v>91</v>
      </c>
      <c r="I10" s="5"/>
    </row>
    <row r="11" customFormat="false" ht="23.85" hidden="false" customHeight="false" outlineLevel="0" collapsed="false">
      <c r="A11" s="5" t="n">
        <v>3724</v>
      </c>
      <c r="B11" s="5" t="s">
        <v>624</v>
      </c>
      <c r="C11" s="5" t="s">
        <v>625</v>
      </c>
      <c r="D11" s="5" t="s">
        <v>626</v>
      </c>
      <c r="E11" s="5" t="s">
        <v>627</v>
      </c>
      <c r="F11" s="5" t="s">
        <v>600</v>
      </c>
      <c r="G11" s="5" t="s">
        <v>601</v>
      </c>
      <c r="H11" s="5" t="s">
        <v>91</v>
      </c>
      <c r="I11" s="5"/>
    </row>
    <row r="12" customFormat="false" ht="23.85" hidden="false" customHeight="false" outlineLevel="0" collapsed="false">
      <c r="A12" s="5" t="n">
        <v>3733</v>
      </c>
      <c r="B12" s="5" t="s">
        <v>628</v>
      </c>
      <c r="C12" s="5" t="s">
        <v>629</v>
      </c>
      <c r="D12" s="5" t="s">
        <v>630</v>
      </c>
      <c r="E12" s="5" t="s">
        <v>631</v>
      </c>
      <c r="F12" s="5" t="s">
        <v>600</v>
      </c>
      <c r="G12" s="5" t="s">
        <v>601</v>
      </c>
      <c r="H12" s="5" t="s">
        <v>91</v>
      </c>
      <c r="I12" s="5"/>
    </row>
    <row r="13" customFormat="false" ht="23.85" hidden="false" customHeight="false" outlineLevel="0" collapsed="false">
      <c r="A13" s="5" t="n">
        <v>3736</v>
      </c>
      <c r="B13" s="5" t="s">
        <v>632</v>
      </c>
      <c r="C13" s="5" t="s">
        <v>633</v>
      </c>
      <c r="D13" s="5" t="s">
        <v>634</v>
      </c>
      <c r="E13" s="5" t="s">
        <v>635</v>
      </c>
      <c r="F13" s="5" t="s">
        <v>600</v>
      </c>
      <c r="G13" s="5" t="s">
        <v>601</v>
      </c>
      <c r="H13" s="5" t="s">
        <v>91</v>
      </c>
      <c r="I13" s="5"/>
    </row>
    <row r="14" customFormat="false" ht="35.05" hidden="false" customHeight="false" outlineLevel="0" collapsed="false">
      <c r="A14" s="5" t="n">
        <v>3737</v>
      </c>
      <c r="B14" s="5" t="s">
        <v>636</v>
      </c>
      <c r="C14" s="5" t="s">
        <v>637</v>
      </c>
      <c r="D14" s="5" t="s">
        <v>638</v>
      </c>
      <c r="E14" s="5" t="s">
        <v>639</v>
      </c>
      <c r="F14" s="5" t="s">
        <v>619</v>
      </c>
      <c r="G14" s="5" t="s">
        <v>601</v>
      </c>
      <c r="H14" s="5" t="s">
        <v>91</v>
      </c>
      <c r="I14" s="5"/>
    </row>
    <row r="15" customFormat="false" ht="23.85" hidden="false" customHeight="false" outlineLevel="0" collapsed="false">
      <c r="A15" s="5" t="n">
        <v>3739</v>
      </c>
      <c r="B15" s="5" t="s">
        <v>640</v>
      </c>
      <c r="C15" s="5" t="s">
        <v>641</v>
      </c>
      <c r="D15" s="5" t="s">
        <v>642</v>
      </c>
      <c r="E15" s="5" t="s">
        <v>643</v>
      </c>
      <c r="F15" s="5" t="s">
        <v>600</v>
      </c>
      <c r="G15" s="5" t="s">
        <v>601</v>
      </c>
      <c r="H15" s="5" t="s">
        <v>91</v>
      </c>
      <c r="I15" s="5"/>
    </row>
    <row r="16" customFormat="false" ht="23.85" hidden="false" customHeight="false" outlineLevel="0" collapsed="false">
      <c r="A16" s="5" t="n">
        <v>3750</v>
      </c>
      <c r="B16" s="5" t="s">
        <v>644</v>
      </c>
      <c r="C16" s="5" t="s">
        <v>645</v>
      </c>
      <c r="D16" s="5" t="s">
        <v>646</v>
      </c>
      <c r="E16" s="5" t="s">
        <v>647</v>
      </c>
      <c r="F16" s="5" t="s">
        <v>600</v>
      </c>
      <c r="G16" s="5" t="s">
        <v>601</v>
      </c>
      <c r="H16" s="5" t="s">
        <v>91</v>
      </c>
      <c r="I16" s="5"/>
    </row>
    <row r="17" customFormat="false" ht="23.85" hidden="false" customHeight="false" outlineLevel="0" collapsed="false">
      <c r="A17" s="5" t="n">
        <v>3790</v>
      </c>
      <c r="B17" s="5" t="s">
        <v>648</v>
      </c>
      <c r="C17" s="5" t="s">
        <v>649</v>
      </c>
      <c r="D17" s="5" t="s">
        <v>650</v>
      </c>
      <c r="E17" s="5" t="s">
        <v>651</v>
      </c>
      <c r="F17" s="5" t="s">
        <v>600</v>
      </c>
      <c r="G17" s="5" t="s">
        <v>601</v>
      </c>
      <c r="H17" s="5" t="s">
        <v>91</v>
      </c>
      <c r="I17" s="5"/>
    </row>
    <row r="18" customFormat="false" ht="23.85" hidden="false" customHeight="false" outlineLevel="0" collapsed="false">
      <c r="A18" s="5" t="n">
        <v>3804</v>
      </c>
      <c r="B18" s="5" t="s">
        <v>652</v>
      </c>
      <c r="C18" s="5" t="s">
        <v>653</v>
      </c>
      <c r="D18" s="5" t="s">
        <v>654</v>
      </c>
      <c r="E18" s="5" t="s">
        <v>655</v>
      </c>
      <c r="F18" s="5" t="s">
        <v>600</v>
      </c>
      <c r="G18" s="5" t="s">
        <v>601</v>
      </c>
      <c r="H18" s="5" t="s">
        <v>91</v>
      </c>
      <c r="I18" s="5"/>
    </row>
    <row r="19" customFormat="false" ht="15" hidden="false" customHeight="false" outlineLevel="0" collapsed="false">
      <c r="A19" s="5" t="n">
        <v>3834</v>
      </c>
      <c r="B19" s="5" t="s">
        <v>656</v>
      </c>
      <c r="C19" s="5" t="s">
        <v>657</v>
      </c>
      <c r="D19" s="5" t="s">
        <v>658</v>
      </c>
      <c r="E19" s="5" t="s">
        <v>659</v>
      </c>
      <c r="F19" s="5" t="s">
        <v>606</v>
      </c>
      <c r="G19" s="5" t="s">
        <v>601</v>
      </c>
      <c r="H19" s="5" t="s">
        <v>91</v>
      </c>
      <c r="I19" s="5"/>
    </row>
    <row r="20" customFormat="false" ht="23.85" hidden="false" customHeight="false" outlineLevel="0" collapsed="false">
      <c r="A20" s="5" t="n">
        <v>3869</v>
      </c>
      <c r="B20" s="5" t="s">
        <v>660</v>
      </c>
      <c r="C20" s="5" t="s">
        <v>661</v>
      </c>
      <c r="D20" s="5" t="s">
        <v>662</v>
      </c>
      <c r="E20" s="5" t="s">
        <v>663</v>
      </c>
      <c r="F20" s="5" t="s">
        <v>600</v>
      </c>
      <c r="G20" s="5" t="s">
        <v>601</v>
      </c>
      <c r="H20" s="5" t="s">
        <v>91</v>
      </c>
      <c r="I20" s="5"/>
    </row>
    <row r="21" customFormat="false" ht="23.85" hidden="false" customHeight="false" outlineLevel="0" collapsed="false">
      <c r="A21" s="5" t="n">
        <v>4193</v>
      </c>
      <c r="B21" s="5" t="s">
        <v>664</v>
      </c>
      <c r="C21" s="5" t="s">
        <v>665</v>
      </c>
      <c r="D21" s="5" t="s">
        <v>666</v>
      </c>
      <c r="E21" s="5" t="s">
        <v>651</v>
      </c>
      <c r="F21" s="5" t="s">
        <v>600</v>
      </c>
      <c r="G21" s="5" t="s">
        <v>601</v>
      </c>
      <c r="H21" s="5" t="s">
        <v>91</v>
      </c>
      <c r="I21" s="5"/>
    </row>
    <row r="22" customFormat="false" ht="23.85" hidden="false" customHeight="false" outlineLevel="0" collapsed="false">
      <c r="A22" s="5" t="n">
        <v>4235</v>
      </c>
      <c r="B22" s="5" t="s">
        <v>667</v>
      </c>
      <c r="C22" s="5" t="s">
        <v>668</v>
      </c>
      <c r="D22" s="5" t="s">
        <v>669</v>
      </c>
      <c r="E22" s="5" t="s">
        <v>631</v>
      </c>
      <c r="F22" s="5" t="s">
        <v>600</v>
      </c>
      <c r="G22" s="5" t="s">
        <v>601</v>
      </c>
      <c r="H22" s="5" t="s">
        <v>91</v>
      </c>
      <c r="I22" s="5"/>
    </row>
    <row r="23" customFormat="false" ht="35.05" hidden="false" customHeight="false" outlineLevel="0" collapsed="false">
      <c r="A23" s="5" t="n">
        <v>4240</v>
      </c>
      <c r="B23" s="5" t="s">
        <v>670</v>
      </c>
      <c r="C23" s="5" t="s">
        <v>671</v>
      </c>
      <c r="D23" s="5" t="s">
        <v>672</v>
      </c>
      <c r="E23" s="5" t="s">
        <v>623</v>
      </c>
      <c r="F23" s="5" t="s">
        <v>619</v>
      </c>
      <c r="G23" s="5" t="s">
        <v>601</v>
      </c>
      <c r="H23" s="5" t="s">
        <v>91</v>
      </c>
      <c r="I23" s="5"/>
    </row>
    <row r="24" customFormat="false" ht="15" hidden="false" customHeight="false" outlineLevel="0" collapsed="false">
      <c r="A24" s="5" t="n">
        <v>4250</v>
      </c>
      <c r="B24" s="5" t="s">
        <v>673</v>
      </c>
      <c r="C24" s="5" t="s">
        <v>674</v>
      </c>
      <c r="D24" s="5" t="s">
        <v>675</v>
      </c>
      <c r="E24" s="5" t="s">
        <v>659</v>
      </c>
      <c r="F24" s="5" t="s">
        <v>606</v>
      </c>
      <c r="G24" s="5" t="s">
        <v>601</v>
      </c>
      <c r="H24" s="5" t="s">
        <v>91</v>
      </c>
      <c r="I24" s="5"/>
    </row>
    <row r="25" customFormat="false" ht="15" hidden="false" customHeight="false" outlineLevel="0" collapsed="false">
      <c r="A25" s="5" t="n">
        <v>4264</v>
      </c>
      <c r="B25" s="5" t="s">
        <v>676</v>
      </c>
      <c r="C25" s="5" t="s">
        <v>677</v>
      </c>
      <c r="D25" s="5" t="s">
        <v>678</v>
      </c>
      <c r="E25" s="5" t="s">
        <v>610</v>
      </c>
      <c r="F25" s="5" t="s">
        <v>606</v>
      </c>
      <c r="G25" s="5" t="s">
        <v>601</v>
      </c>
      <c r="H25" s="5" t="s">
        <v>91</v>
      </c>
      <c r="I25" s="5"/>
    </row>
    <row r="26" customFormat="false" ht="23.85" hidden="false" customHeight="false" outlineLevel="0" collapsed="false">
      <c r="A26" s="5" t="n">
        <v>4300</v>
      </c>
      <c r="B26" s="5" t="s">
        <v>679</v>
      </c>
      <c r="C26" s="5" t="s">
        <v>680</v>
      </c>
      <c r="D26" s="5" t="s">
        <v>681</v>
      </c>
      <c r="E26" s="5" t="s">
        <v>631</v>
      </c>
      <c r="F26" s="5" t="s">
        <v>600</v>
      </c>
      <c r="G26" s="5" t="s">
        <v>601</v>
      </c>
      <c r="H26" s="5" t="s">
        <v>91</v>
      </c>
      <c r="I26" s="5"/>
    </row>
    <row r="27" customFormat="false" ht="23.85" hidden="false" customHeight="false" outlineLevel="0" collapsed="false">
      <c r="A27" s="5" t="n">
        <v>3553</v>
      </c>
      <c r="B27" s="5" t="s">
        <v>682</v>
      </c>
      <c r="C27" s="5" t="s">
        <v>683</v>
      </c>
      <c r="D27" s="5" t="s">
        <v>684</v>
      </c>
      <c r="E27" s="5" t="s">
        <v>685</v>
      </c>
      <c r="F27" s="5" t="s">
        <v>686</v>
      </c>
      <c r="G27" s="5" t="s">
        <v>687</v>
      </c>
      <c r="H27" s="5" t="s">
        <v>688</v>
      </c>
      <c r="I27" s="5"/>
    </row>
    <row r="28" customFormat="false" ht="23.85" hidden="false" customHeight="false" outlineLevel="0" collapsed="false">
      <c r="A28" s="5" t="n">
        <v>3673</v>
      </c>
      <c r="B28" s="5" t="s">
        <v>689</v>
      </c>
      <c r="C28" s="5" t="s">
        <v>690</v>
      </c>
      <c r="D28" s="5" t="s">
        <v>691</v>
      </c>
      <c r="E28" s="5" t="s">
        <v>692</v>
      </c>
      <c r="F28" s="5" t="s">
        <v>686</v>
      </c>
      <c r="G28" s="5" t="s">
        <v>687</v>
      </c>
      <c r="H28" s="5" t="s">
        <v>688</v>
      </c>
      <c r="I28" s="5"/>
    </row>
    <row r="29" customFormat="false" ht="15" hidden="false" customHeight="false" outlineLevel="0" collapsed="false">
      <c r="A29" s="5" t="n">
        <v>3730</v>
      </c>
      <c r="B29" s="5" t="s">
        <v>693</v>
      </c>
      <c r="C29" s="5" t="s">
        <v>694</v>
      </c>
      <c r="D29" s="5" t="s">
        <v>695</v>
      </c>
      <c r="E29" s="5" t="s">
        <v>696</v>
      </c>
      <c r="F29" s="5" t="s">
        <v>686</v>
      </c>
      <c r="G29" s="5" t="s">
        <v>687</v>
      </c>
      <c r="H29" s="5" t="s">
        <v>688</v>
      </c>
      <c r="I29" s="5"/>
    </row>
    <row r="30" customFormat="false" ht="15" hidden="false" customHeight="false" outlineLevel="0" collapsed="false">
      <c r="A30" s="5" t="n">
        <v>3738</v>
      </c>
      <c r="B30" s="5" t="s">
        <v>697</v>
      </c>
      <c r="C30" s="5" t="s">
        <v>698</v>
      </c>
      <c r="D30" s="5" t="s">
        <v>699</v>
      </c>
      <c r="E30" s="5" t="s">
        <v>700</v>
      </c>
      <c r="F30" s="5" t="s">
        <v>686</v>
      </c>
      <c r="G30" s="5" t="s">
        <v>687</v>
      </c>
      <c r="H30" s="5" t="s">
        <v>688</v>
      </c>
      <c r="I30" s="5"/>
    </row>
    <row r="31" customFormat="false" ht="23.85" hidden="false" customHeight="false" outlineLevel="0" collapsed="false">
      <c r="A31" s="5" t="n">
        <v>3743</v>
      </c>
      <c r="B31" s="5" t="s">
        <v>701</v>
      </c>
      <c r="C31" s="5" t="s">
        <v>702</v>
      </c>
      <c r="D31" s="5" t="s">
        <v>703</v>
      </c>
      <c r="E31" s="5" t="s">
        <v>704</v>
      </c>
      <c r="F31" s="5" t="s">
        <v>686</v>
      </c>
      <c r="G31" s="5" t="s">
        <v>687</v>
      </c>
      <c r="H31" s="5" t="s">
        <v>688</v>
      </c>
      <c r="I31" s="5"/>
    </row>
    <row r="32" customFormat="false" ht="15" hidden="false" customHeight="false" outlineLevel="0" collapsed="false">
      <c r="A32" s="5" t="n">
        <v>3746</v>
      </c>
      <c r="B32" s="5" t="s">
        <v>705</v>
      </c>
      <c r="C32" s="5" t="s">
        <v>706</v>
      </c>
      <c r="D32" s="5" t="s">
        <v>707</v>
      </c>
      <c r="E32" s="5" t="s">
        <v>708</v>
      </c>
      <c r="F32" s="5" t="s">
        <v>686</v>
      </c>
      <c r="G32" s="5" t="s">
        <v>687</v>
      </c>
      <c r="H32" s="5" t="s">
        <v>688</v>
      </c>
      <c r="I32" s="5"/>
    </row>
    <row r="33" customFormat="false" ht="15" hidden="false" customHeight="false" outlineLevel="0" collapsed="false">
      <c r="A33" s="5" t="n">
        <v>3748</v>
      </c>
      <c r="B33" s="5" t="s">
        <v>709</v>
      </c>
      <c r="C33" s="5" t="s">
        <v>710</v>
      </c>
      <c r="D33" s="5" t="s">
        <v>711</v>
      </c>
      <c r="E33" s="5" t="s">
        <v>712</v>
      </c>
      <c r="F33" s="5" t="s">
        <v>686</v>
      </c>
      <c r="G33" s="5" t="s">
        <v>687</v>
      </c>
      <c r="H33" s="5" t="s">
        <v>688</v>
      </c>
      <c r="I33" s="5"/>
    </row>
    <row r="34" customFormat="false" ht="15" hidden="false" customHeight="false" outlineLevel="0" collapsed="false">
      <c r="A34" s="5" t="n">
        <v>3751</v>
      </c>
      <c r="B34" s="5" t="s">
        <v>713</v>
      </c>
      <c r="C34" s="5" t="s">
        <v>714</v>
      </c>
      <c r="D34" s="5" t="s">
        <v>715</v>
      </c>
      <c r="E34" s="5" t="s">
        <v>716</v>
      </c>
      <c r="F34" s="5" t="s">
        <v>686</v>
      </c>
      <c r="G34" s="5" t="s">
        <v>687</v>
      </c>
      <c r="H34" s="5" t="s">
        <v>688</v>
      </c>
      <c r="I34" s="5"/>
    </row>
    <row r="35" customFormat="false" ht="15" hidden="false" customHeight="false" outlineLevel="0" collapsed="false">
      <c r="A35" s="5" t="n">
        <v>4009</v>
      </c>
      <c r="B35" s="5" t="s">
        <v>717</v>
      </c>
      <c r="C35" s="5" t="s">
        <v>718</v>
      </c>
      <c r="D35" s="5" t="s">
        <v>719</v>
      </c>
      <c r="E35" s="5" t="s">
        <v>720</v>
      </c>
      <c r="F35" s="5" t="s">
        <v>686</v>
      </c>
      <c r="G35" s="5" t="s">
        <v>687</v>
      </c>
      <c r="H35" s="5" t="s">
        <v>688</v>
      </c>
      <c r="I35" s="5"/>
    </row>
    <row r="36" customFormat="false" ht="15" hidden="false" customHeight="false" outlineLevel="0" collapsed="false">
      <c r="A36" s="5" t="n">
        <v>4017</v>
      </c>
      <c r="B36" s="5" t="s">
        <v>721</v>
      </c>
      <c r="C36" s="5" t="s">
        <v>722</v>
      </c>
      <c r="D36" s="5" t="s">
        <v>723</v>
      </c>
      <c r="E36" s="5" t="s">
        <v>724</v>
      </c>
      <c r="F36" s="5" t="s">
        <v>686</v>
      </c>
      <c r="G36" s="5" t="s">
        <v>687</v>
      </c>
      <c r="H36" s="5" t="s">
        <v>688</v>
      </c>
      <c r="I36" s="5"/>
    </row>
    <row r="37" customFormat="false" ht="15" hidden="false" customHeight="false" outlineLevel="0" collapsed="false">
      <c r="A37" s="5" t="n">
        <v>4180</v>
      </c>
      <c r="B37" s="5" t="s">
        <v>725</v>
      </c>
      <c r="C37" s="5" t="s">
        <v>726</v>
      </c>
      <c r="D37" s="5" t="s">
        <v>727</v>
      </c>
      <c r="E37" s="5" t="s">
        <v>712</v>
      </c>
      <c r="F37" s="5" t="s">
        <v>686</v>
      </c>
      <c r="G37" s="5" t="s">
        <v>687</v>
      </c>
      <c r="H37" s="5" t="s">
        <v>688</v>
      </c>
      <c r="I37" s="5"/>
    </row>
  </sheetData>
  <autoFilter ref="A4:I37"/>
  <mergeCells count="1">
    <mergeCell ref="A2:H2"/>
  </mergeCells>
  <dataValidations count="1">
    <dataValidation allowBlank="true" errorStyle="stop" operator="between" showDropDown="false" showErrorMessage="false" showInputMessage="false" sqref="H5:H37" type="list">
      <formula1>"Pendiente,En curso,Entregado,No aplica"</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8"/>
    <col collapsed="false" customWidth="true" hidden="false" outlineLevel="0" max="3" min="3" style="0" width="34"/>
    <col collapsed="false" customWidth="true" hidden="false" outlineLevel="0" max="5" min="4" style="0" width="18"/>
    <col collapsed="false" customWidth="true" hidden="false" outlineLevel="0" max="6" min="6" style="0" width="34"/>
    <col collapsed="false" customWidth="true" hidden="false" outlineLevel="0" max="7" min="7" style="0" width="60"/>
    <col collapsed="false" customWidth="true" hidden="false" outlineLevel="0" max="8" min="8" style="0" width="38"/>
    <col collapsed="false" customWidth="true" hidden="false" outlineLevel="0" max="9" min="9" style="0" width="22"/>
    <col collapsed="false" customWidth="true" hidden="false" outlineLevel="0" max="11" min="10" style="0" width="12"/>
    <col collapsed="false" customWidth="true" hidden="false" outlineLevel="0" max="12" min="12" style="0" width="26"/>
    <col collapsed="false" customWidth="true" hidden="false" outlineLevel="0" max="13" min="13" style="0" width="24"/>
  </cols>
  <sheetData>
    <row r="1" customFormat="false" ht="17.35" hidden="false" customHeight="false" outlineLevel="0" collapsed="false">
      <c r="A1" s="12" t="s">
        <v>728</v>
      </c>
    </row>
    <row r="2" customFormat="false" ht="42" hidden="false" customHeight="true" outlineLevel="0" collapsed="false">
      <c r="A2" s="15" t="s">
        <v>729</v>
      </c>
      <c r="B2" s="15"/>
      <c r="C2" s="15"/>
      <c r="D2" s="15"/>
      <c r="E2" s="15"/>
      <c r="F2" s="15"/>
      <c r="G2" s="15"/>
      <c r="H2" s="15"/>
    </row>
    <row r="4" customFormat="false" ht="30" hidden="false" customHeight="true" outlineLevel="0" collapsed="false">
      <c r="A4" s="3" t="s">
        <v>730</v>
      </c>
      <c r="B4" s="3" t="s">
        <v>731</v>
      </c>
      <c r="C4" s="3" t="s">
        <v>732</v>
      </c>
      <c r="D4" s="3" t="s">
        <v>733</v>
      </c>
      <c r="E4" s="3" t="s">
        <v>734</v>
      </c>
      <c r="F4" s="3" t="s">
        <v>735</v>
      </c>
      <c r="G4" s="3" t="s">
        <v>736</v>
      </c>
      <c r="H4" s="3" t="s">
        <v>737</v>
      </c>
      <c r="I4" s="3" t="s">
        <v>738</v>
      </c>
      <c r="J4" s="3" t="s">
        <v>65</v>
      </c>
      <c r="K4" s="3" t="s">
        <v>77</v>
      </c>
      <c r="L4" s="3" t="s">
        <v>739</v>
      </c>
      <c r="M4" s="3" t="s">
        <v>79</v>
      </c>
    </row>
    <row r="5" customFormat="false" ht="35.05" hidden="false" customHeight="false" outlineLevel="0" collapsed="false">
      <c r="A5" s="5" t="n">
        <v>1</v>
      </c>
      <c r="B5" s="5" t="s">
        <v>740</v>
      </c>
      <c r="C5" s="5" t="s">
        <v>741</v>
      </c>
      <c r="D5" s="5" t="s">
        <v>742</v>
      </c>
      <c r="E5" s="5" t="s">
        <v>743</v>
      </c>
      <c r="F5" s="5" t="s">
        <v>744</v>
      </c>
      <c r="G5" s="5" t="s">
        <v>745</v>
      </c>
      <c r="H5" s="5" t="s">
        <v>746</v>
      </c>
      <c r="I5" s="5" t="s">
        <v>747</v>
      </c>
      <c r="J5" s="5" t="s">
        <v>748</v>
      </c>
      <c r="K5" s="5" t="s">
        <v>91</v>
      </c>
      <c r="L5" s="5"/>
      <c r="M5" s="5"/>
    </row>
    <row r="6" customFormat="false" ht="23.85" hidden="false" customHeight="false" outlineLevel="0" collapsed="false">
      <c r="A6" s="5" t="n">
        <v>2</v>
      </c>
      <c r="B6" s="5" t="s">
        <v>749</v>
      </c>
      <c r="C6" s="5" t="s">
        <v>750</v>
      </c>
      <c r="D6" s="5" t="s">
        <v>742</v>
      </c>
      <c r="E6" s="5" t="s">
        <v>743</v>
      </c>
      <c r="F6" s="5" t="s">
        <v>751</v>
      </c>
      <c r="G6" s="5" t="s">
        <v>752</v>
      </c>
      <c r="H6" s="5" t="s">
        <v>753</v>
      </c>
      <c r="I6" s="5" t="s">
        <v>747</v>
      </c>
      <c r="J6" s="5" t="s">
        <v>754</v>
      </c>
      <c r="K6" s="5" t="s">
        <v>91</v>
      </c>
      <c r="L6" s="5"/>
      <c r="M6" s="5"/>
    </row>
    <row r="7" customFormat="false" ht="35.05" hidden="false" customHeight="false" outlineLevel="0" collapsed="false">
      <c r="A7" s="5" t="n">
        <v>3</v>
      </c>
      <c r="B7" s="5" t="s">
        <v>755</v>
      </c>
      <c r="C7" s="5" t="s">
        <v>756</v>
      </c>
      <c r="D7" s="5" t="s">
        <v>757</v>
      </c>
      <c r="E7" s="5" t="s">
        <v>758</v>
      </c>
      <c r="F7" s="5" t="s">
        <v>759</v>
      </c>
      <c r="G7" s="5" t="s">
        <v>760</v>
      </c>
      <c r="H7" s="5" t="s">
        <v>761</v>
      </c>
      <c r="I7" s="5" t="s">
        <v>762</v>
      </c>
      <c r="J7" s="5" t="s">
        <v>754</v>
      </c>
      <c r="K7" s="5" t="s">
        <v>91</v>
      </c>
      <c r="L7" s="5"/>
      <c r="M7" s="5"/>
    </row>
    <row r="8" customFormat="false" ht="23.85" hidden="false" customHeight="false" outlineLevel="0" collapsed="false">
      <c r="A8" s="5" t="n">
        <v>4</v>
      </c>
      <c r="B8" s="5" t="s">
        <v>763</v>
      </c>
      <c r="C8" s="5" t="s">
        <v>764</v>
      </c>
      <c r="D8" s="5" t="s">
        <v>757</v>
      </c>
      <c r="E8" s="5" t="s">
        <v>758</v>
      </c>
      <c r="F8" s="5" t="s">
        <v>765</v>
      </c>
      <c r="G8" s="5" t="s">
        <v>766</v>
      </c>
      <c r="H8" s="5" t="s">
        <v>767</v>
      </c>
      <c r="I8" s="5" t="s">
        <v>762</v>
      </c>
      <c r="J8" s="5" t="s">
        <v>754</v>
      </c>
      <c r="K8" s="5" t="s">
        <v>91</v>
      </c>
      <c r="L8" s="5"/>
      <c r="M8" s="5"/>
    </row>
    <row r="9" customFormat="false" ht="23.85" hidden="false" customHeight="false" outlineLevel="0" collapsed="false">
      <c r="A9" s="5" t="n">
        <v>5</v>
      </c>
      <c r="B9" s="5" t="s">
        <v>768</v>
      </c>
      <c r="C9" s="5" t="s">
        <v>769</v>
      </c>
      <c r="D9" s="5" t="s">
        <v>757</v>
      </c>
      <c r="E9" s="5" t="s">
        <v>758</v>
      </c>
      <c r="F9" s="5" t="s">
        <v>770</v>
      </c>
      <c r="G9" s="5" t="s">
        <v>771</v>
      </c>
      <c r="H9" s="5" t="s">
        <v>772</v>
      </c>
      <c r="I9" s="5" t="s">
        <v>747</v>
      </c>
      <c r="J9" s="5" t="s">
        <v>748</v>
      </c>
      <c r="K9" s="5" t="s">
        <v>91</v>
      </c>
      <c r="L9" s="5"/>
      <c r="M9" s="5"/>
    </row>
    <row r="10" customFormat="false" ht="35.05" hidden="false" customHeight="false" outlineLevel="0" collapsed="false">
      <c r="A10" s="5" t="n">
        <v>6</v>
      </c>
      <c r="B10" s="5" t="s">
        <v>773</v>
      </c>
      <c r="C10" s="5" t="s">
        <v>774</v>
      </c>
      <c r="D10" s="5" t="s">
        <v>757</v>
      </c>
      <c r="E10" s="5" t="s">
        <v>758</v>
      </c>
      <c r="F10" s="5" t="s">
        <v>775</v>
      </c>
      <c r="G10" s="5" t="s">
        <v>776</v>
      </c>
      <c r="H10" s="5" t="s">
        <v>777</v>
      </c>
      <c r="I10" s="5" t="s">
        <v>762</v>
      </c>
      <c r="J10" s="5" t="s">
        <v>754</v>
      </c>
      <c r="K10" s="5" t="s">
        <v>91</v>
      </c>
      <c r="L10" s="5"/>
      <c r="M10" s="5"/>
    </row>
    <row r="11" customFormat="false" ht="23.85" hidden="false" customHeight="false" outlineLevel="0" collapsed="false">
      <c r="A11" s="5" t="n">
        <v>7</v>
      </c>
      <c r="B11" s="5" t="s">
        <v>778</v>
      </c>
      <c r="C11" s="5" t="s">
        <v>779</v>
      </c>
      <c r="D11" s="5" t="s">
        <v>757</v>
      </c>
      <c r="E11" s="5" t="s">
        <v>758</v>
      </c>
      <c r="F11" s="5" t="s">
        <v>780</v>
      </c>
      <c r="G11" s="5" t="s">
        <v>781</v>
      </c>
      <c r="H11" s="5" t="s">
        <v>782</v>
      </c>
      <c r="I11" s="5" t="s">
        <v>747</v>
      </c>
      <c r="J11" s="5" t="s">
        <v>748</v>
      </c>
      <c r="K11" s="5" t="s">
        <v>91</v>
      </c>
      <c r="L11" s="5"/>
      <c r="M11" s="5"/>
    </row>
    <row r="12" customFormat="false" ht="35.05" hidden="false" customHeight="false" outlineLevel="0" collapsed="false">
      <c r="A12" s="5" t="n">
        <v>8</v>
      </c>
      <c r="B12" s="5" t="s">
        <v>783</v>
      </c>
      <c r="C12" s="5" t="s">
        <v>784</v>
      </c>
      <c r="D12" s="5" t="s">
        <v>785</v>
      </c>
      <c r="E12" s="5" t="s">
        <v>786</v>
      </c>
      <c r="F12" s="5" t="s">
        <v>770</v>
      </c>
      <c r="G12" s="5" t="s">
        <v>787</v>
      </c>
      <c r="H12" s="5" t="s">
        <v>788</v>
      </c>
      <c r="I12" s="5" t="s">
        <v>747</v>
      </c>
      <c r="J12" s="5" t="s">
        <v>754</v>
      </c>
      <c r="K12" s="5" t="s">
        <v>91</v>
      </c>
      <c r="L12" s="5"/>
      <c r="M12" s="5"/>
    </row>
    <row r="13" customFormat="false" ht="46.25" hidden="false" customHeight="false" outlineLevel="0" collapsed="false">
      <c r="A13" s="5" t="n">
        <v>9</v>
      </c>
      <c r="B13" s="5" t="s">
        <v>789</v>
      </c>
      <c r="C13" s="5" t="s">
        <v>790</v>
      </c>
      <c r="D13" s="5" t="s">
        <v>785</v>
      </c>
      <c r="E13" s="5" t="s">
        <v>786</v>
      </c>
      <c r="F13" s="5" t="s">
        <v>791</v>
      </c>
      <c r="G13" s="5" t="s">
        <v>792</v>
      </c>
      <c r="H13" s="5" t="s">
        <v>793</v>
      </c>
      <c r="I13" s="5" t="s">
        <v>747</v>
      </c>
      <c r="J13" s="5" t="s">
        <v>754</v>
      </c>
      <c r="K13" s="5" t="s">
        <v>91</v>
      </c>
      <c r="L13" s="5"/>
      <c r="M13" s="5"/>
    </row>
    <row r="14" customFormat="false" ht="35.05" hidden="false" customHeight="false" outlineLevel="0" collapsed="false">
      <c r="A14" s="5" t="n">
        <v>10</v>
      </c>
      <c r="B14" s="5" t="s">
        <v>794</v>
      </c>
      <c r="C14" s="5" t="s">
        <v>795</v>
      </c>
      <c r="D14" s="5" t="s">
        <v>796</v>
      </c>
      <c r="E14" s="5" t="s">
        <v>797</v>
      </c>
      <c r="F14" s="5" t="s">
        <v>770</v>
      </c>
      <c r="G14" s="5" t="s">
        <v>798</v>
      </c>
      <c r="H14" s="5" t="s">
        <v>799</v>
      </c>
      <c r="I14" s="5" t="s">
        <v>800</v>
      </c>
      <c r="J14" s="5" t="s">
        <v>801</v>
      </c>
      <c r="K14" s="5" t="s">
        <v>91</v>
      </c>
      <c r="L14" s="5"/>
      <c r="M14" s="5"/>
    </row>
    <row r="15" customFormat="false" ht="35.05" hidden="false" customHeight="false" outlineLevel="0" collapsed="false">
      <c r="A15" s="5" t="n">
        <v>11</v>
      </c>
      <c r="B15" s="5" t="s">
        <v>802</v>
      </c>
      <c r="C15" s="5" t="s">
        <v>803</v>
      </c>
      <c r="D15" s="5" t="s">
        <v>804</v>
      </c>
      <c r="E15" s="5" t="s">
        <v>805</v>
      </c>
      <c r="F15" s="5" t="s">
        <v>806</v>
      </c>
      <c r="G15" s="5" t="s">
        <v>807</v>
      </c>
      <c r="H15" s="5" t="s">
        <v>808</v>
      </c>
      <c r="I15" s="5" t="s">
        <v>747</v>
      </c>
      <c r="J15" s="5" t="s">
        <v>801</v>
      </c>
      <c r="K15" s="5" t="s">
        <v>91</v>
      </c>
      <c r="L15" s="5"/>
      <c r="M15" s="5"/>
    </row>
  </sheetData>
  <autoFilter ref="A4:M15"/>
  <mergeCells count="1">
    <mergeCell ref="A2:H2"/>
  </mergeCells>
  <dataValidations count="1">
    <dataValidation allowBlank="true" errorStyle="stop" operator="between" showDropDown="false" showErrorMessage="false" showInputMessage="false" sqref="K5:K15" type="list">
      <formula1>"Pendiente,En curso,Entregado,No aplica"</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4"/>
    <col collapsed="false" customWidth="true" hidden="false" outlineLevel="0" max="3" min="3" style="0" width="38"/>
    <col collapsed="false" customWidth="true" hidden="false" outlineLevel="0" max="4" min="4" style="0" width="40"/>
    <col collapsed="false" customWidth="true" hidden="false" outlineLevel="0" max="5" min="5" style="0" width="48"/>
    <col collapsed="false" customWidth="true" hidden="false" outlineLevel="0" max="6" min="6" style="0" width="34"/>
    <col collapsed="false" customWidth="true" hidden="false" outlineLevel="0" max="8" min="7" style="0" width="12"/>
    <col collapsed="false" customWidth="true" hidden="false" outlineLevel="0" max="9" min="9" style="0" width="26"/>
    <col collapsed="false" customWidth="true" hidden="false" outlineLevel="0" max="10" min="10" style="0" width="24"/>
  </cols>
  <sheetData>
    <row r="1" customFormat="false" ht="17.35" hidden="false" customHeight="false" outlineLevel="0" collapsed="false">
      <c r="A1" s="12" t="s">
        <v>809</v>
      </c>
    </row>
    <row r="2" customFormat="false" ht="42" hidden="false" customHeight="true" outlineLevel="0" collapsed="false">
      <c r="A2" s="15" t="s">
        <v>810</v>
      </c>
      <c r="B2" s="15"/>
      <c r="C2" s="15"/>
      <c r="D2" s="15"/>
      <c r="E2" s="15"/>
      <c r="F2" s="15"/>
      <c r="G2" s="15"/>
      <c r="H2" s="15"/>
    </row>
    <row r="4" customFormat="false" ht="30" hidden="false" customHeight="true" outlineLevel="0" collapsed="false">
      <c r="A4" s="3" t="s">
        <v>730</v>
      </c>
      <c r="B4" s="3" t="s">
        <v>811</v>
      </c>
      <c r="C4" s="3" t="s">
        <v>812</v>
      </c>
      <c r="D4" s="3" t="s">
        <v>813</v>
      </c>
      <c r="E4" s="3" t="s">
        <v>735</v>
      </c>
      <c r="F4" s="3" t="s">
        <v>732</v>
      </c>
      <c r="G4" s="3" t="s">
        <v>65</v>
      </c>
      <c r="H4" s="3" t="s">
        <v>77</v>
      </c>
      <c r="I4" s="3" t="s">
        <v>814</v>
      </c>
      <c r="J4" s="3" t="s">
        <v>79</v>
      </c>
    </row>
    <row r="5" customFormat="false" ht="23.85" hidden="false" customHeight="false" outlineLevel="0" collapsed="false">
      <c r="A5" s="5" t="n">
        <v>1</v>
      </c>
      <c r="B5" s="5" t="s">
        <v>815</v>
      </c>
      <c r="C5" s="5" t="s">
        <v>816</v>
      </c>
      <c r="D5" s="5" t="s">
        <v>817</v>
      </c>
      <c r="E5" s="5" t="s">
        <v>818</v>
      </c>
      <c r="F5" s="5" t="s">
        <v>819</v>
      </c>
      <c r="G5" s="5" t="s">
        <v>754</v>
      </c>
      <c r="H5" s="5" t="s">
        <v>91</v>
      </c>
      <c r="I5" s="5"/>
      <c r="J5" s="5"/>
    </row>
    <row r="6" customFormat="false" ht="23.85" hidden="false" customHeight="false" outlineLevel="0" collapsed="false">
      <c r="A6" s="5" t="n">
        <v>2</v>
      </c>
      <c r="B6" s="5" t="s">
        <v>820</v>
      </c>
      <c r="C6" s="5" t="s">
        <v>821</v>
      </c>
      <c r="D6" s="5" t="s">
        <v>822</v>
      </c>
      <c r="E6" s="5" t="s">
        <v>823</v>
      </c>
      <c r="F6" s="5" t="s">
        <v>824</v>
      </c>
      <c r="G6" s="5" t="s">
        <v>801</v>
      </c>
      <c r="H6" s="5" t="s">
        <v>91</v>
      </c>
      <c r="I6" s="5"/>
      <c r="J6" s="5"/>
    </row>
    <row r="7" customFormat="false" ht="23.85" hidden="false" customHeight="false" outlineLevel="0" collapsed="false">
      <c r="A7" s="5" t="n">
        <v>3</v>
      </c>
      <c r="B7" s="5" t="s">
        <v>825</v>
      </c>
      <c r="C7" s="5" t="s">
        <v>826</v>
      </c>
      <c r="D7" s="5" t="s">
        <v>827</v>
      </c>
      <c r="E7" s="5" t="s">
        <v>828</v>
      </c>
      <c r="F7" s="5" t="s">
        <v>829</v>
      </c>
      <c r="G7" s="5" t="s">
        <v>748</v>
      </c>
      <c r="H7" s="5" t="s">
        <v>91</v>
      </c>
      <c r="I7" s="5"/>
      <c r="J7" s="5"/>
    </row>
    <row r="8" customFormat="false" ht="15" hidden="false" customHeight="false" outlineLevel="0" collapsed="false">
      <c r="A8" s="5" t="n">
        <v>4</v>
      </c>
      <c r="B8" s="5" t="s">
        <v>830</v>
      </c>
      <c r="C8" s="5" t="s">
        <v>831</v>
      </c>
      <c r="D8" s="5" t="s">
        <v>832</v>
      </c>
      <c r="E8" s="5" t="s">
        <v>833</v>
      </c>
      <c r="F8" s="5" t="s">
        <v>834</v>
      </c>
      <c r="G8" s="5" t="s">
        <v>748</v>
      </c>
      <c r="H8" s="5" t="s">
        <v>91</v>
      </c>
      <c r="I8" s="5"/>
      <c r="J8" s="5"/>
    </row>
    <row r="9" customFormat="false" ht="23.85" hidden="false" customHeight="false" outlineLevel="0" collapsed="false">
      <c r="A9" s="5" t="n">
        <v>5</v>
      </c>
      <c r="B9" s="5" t="s">
        <v>835</v>
      </c>
      <c r="C9" s="5" t="s">
        <v>831</v>
      </c>
      <c r="D9" s="5" t="s">
        <v>836</v>
      </c>
      <c r="E9" s="5" t="s">
        <v>833</v>
      </c>
      <c r="F9" s="5" t="s">
        <v>834</v>
      </c>
      <c r="G9" s="5" t="s">
        <v>748</v>
      </c>
      <c r="H9" s="5" t="s">
        <v>91</v>
      </c>
      <c r="I9" s="5"/>
      <c r="J9" s="5"/>
    </row>
    <row r="10" customFormat="false" ht="23.85" hidden="false" customHeight="false" outlineLevel="0" collapsed="false">
      <c r="A10" s="5" t="n">
        <v>6</v>
      </c>
      <c r="B10" s="5" t="s">
        <v>837</v>
      </c>
      <c r="C10" s="5" t="s">
        <v>838</v>
      </c>
      <c r="D10" s="5" t="s">
        <v>839</v>
      </c>
      <c r="E10" s="5" t="s">
        <v>840</v>
      </c>
      <c r="F10" s="5" t="s">
        <v>841</v>
      </c>
      <c r="G10" s="5" t="s">
        <v>748</v>
      </c>
      <c r="H10" s="5" t="s">
        <v>91</v>
      </c>
      <c r="I10" s="5"/>
      <c r="J10" s="5"/>
    </row>
    <row r="11" customFormat="false" ht="23.85" hidden="false" customHeight="false" outlineLevel="0" collapsed="false">
      <c r="A11" s="5" t="n">
        <v>7</v>
      </c>
      <c r="B11" s="5" t="s">
        <v>842</v>
      </c>
      <c r="C11" s="5" t="s">
        <v>843</v>
      </c>
      <c r="D11" s="5" t="s">
        <v>844</v>
      </c>
      <c r="E11" s="5" t="s">
        <v>845</v>
      </c>
      <c r="F11" s="5" t="s">
        <v>846</v>
      </c>
      <c r="G11" s="5" t="s">
        <v>801</v>
      </c>
      <c r="H11" s="5" t="s">
        <v>91</v>
      </c>
      <c r="I11" s="5"/>
      <c r="J11" s="5"/>
    </row>
    <row r="12" customFormat="false" ht="15" hidden="false" customHeight="false" outlineLevel="0" collapsed="false">
      <c r="A12" s="5" t="n">
        <v>8</v>
      </c>
      <c r="B12" s="5" t="s">
        <v>847</v>
      </c>
      <c r="C12" s="5" t="s">
        <v>848</v>
      </c>
      <c r="D12" s="5" t="s">
        <v>849</v>
      </c>
      <c r="E12" s="5" t="s">
        <v>850</v>
      </c>
      <c r="F12" s="5" t="s">
        <v>851</v>
      </c>
      <c r="G12" s="5" t="s">
        <v>801</v>
      </c>
      <c r="H12" s="5" t="s">
        <v>91</v>
      </c>
      <c r="I12" s="5"/>
      <c r="J12" s="5"/>
    </row>
  </sheetData>
  <autoFilter ref="A4:J12"/>
  <mergeCells count="1">
    <mergeCell ref="A2:H2"/>
  </mergeCells>
  <dataValidations count="1">
    <dataValidation allowBlank="true" errorStyle="stop" operator="between" showDropDown="false" showErrorMessage="false" showInputMessage="false" sqref="H5:H12" type="list">
      <formula1>"Pendiente,En curso,Entregado,No aplica"</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8"/>
    <col collapsed="false" customWidth="true" hidden="false" outlineLevel="0" max="3" min="3" style="0" width="70"/>
    <col collapsed="false" customWidth="true" hidden="false" outlineLevel="0" max="4" min="4" style="0" width="40"/>
    <col collapsed="false" customWidth="true" hidden="false" outlineLevel="0" max="6" min="5" style="0" width="12"/>
    <col collapsed="false" customWidth="true" hidden="false" outlineLevel="0" max="7" min="7" style="0" width="50"/>
    <col collapsed="false" customWidth="true" hidden="false" outlineLevel="0" max="8" min="8" style="0" width="14"/>
  </cols>
  <sheetData>
    <row r="1" customFormat="false" ht="17.35" hidden="false" customHeight="false" outlineLevel="0" collapsed="false">
      <c r="A1" s="12" t="s">
        <v>852</v>
      </c>
    </row>
    <row r="2" customFormat="false" ht="42" hidden="false" customHeight="true" outlineLevel="0" collapsed="false">
      <c r="A2" s="15" t="s">
        <v>853</v>
      </c>
      <c r="B2" s="15"/>
      <c r="C2" s="15"/>
      <c r="D2" s="15"/>
      <c r="E2" s="15"/>
      <c r="F2" s="15"/>
      <c r="G2" s="15"/>
      <c r="H2" s="15"/>
    </row>
    <row r="4" customFormat="false" ht="30" hidden="false" customHeight="true" outlineLevel="0" collapsed="false">
      <c r="A4" s="3" t="s">
        <v>730</v>
      </c>
      <c r="B4" s="3" t="s">
        <v>854</v>
      </c>
      <c r="C4" s="3" t="s">
        <v>855</v>
      </c>
      <c r="D4" s="3" t="s">
        <v>732</v>
      </c>
      <c r="E4" s="3" t="s">
        <v>65</v>
      </c>
      <c r="F4" s="3" t="s">
        <v>77</v>
      </c>
      <c r="G4" s="3" t="s">
        <v>856</v>
      </c>
      <c r="H4" s="3" t="s">
        <v>857</v>
      </c>
    </row>
    <row r="5" customFormat="false" ht="23.85" hidden="false" customHeight="false" outlineLevel="0" collapsed="false">
      <c r="A5" s="5" t="n">
        <v>1</v>
      </c>
      <c r="B5" s="5" t="s">
        <v>858</v>
      </c>
      <c r="C5" s="5" t="s">
        <v>859</v>
      </c>
      <c r="D5" s="5" t="s">
        <v>860</v>
      </c>
      <c r="E5" s="5" t="s">
        <v>754</v>
      </c>
      <c r="F5" s="5" t="s">
        <v>91</v>
      </c>
      <c r="G5" s="5"/>
      <c r="H5" s="5"/>
    </row>
    <row r="6" customFormat="false" ht="15" hidden="false" customHeight="false" outlineLevel="0" collapsed="false">
      <c r="A6" s="5" t="n">
        <v>2</v>
      </c>
      <c r="B6" s="5" t="s">
        <v>861</v>
      </c>
      <c r="C6" s="5" t="s">
        <v>862</v>
      </c>
      <c r="D6" s="5" t="s">
        <v>863</v>
      </c>
      <c r="E6" s="5" t="s">
        <v>754</v>
      </c>
      <c r="F6" s="5" t="s">
        <v>91</v>
      </c>
      <c r="G6" s="5"/>
      <c r="H6" s="5"/>
    </row>
    <row r="7" customFormat="false" ht="23.85" hidden="false" customHeight="false" outlineLevel="0" collapsed="false">
      <c r="A7" s="5" t="n">
        <v>3</v>
      </c>
      <c r="B7" s="5" t="s">
        <v>864</v>
      </c>
      <c r="C7" s="5" t="s">
        <v>865</v>
      </c>
      <c r="D7" s="5" t="s">
        <v>866</v>
      </c>
      <c r="E7" s="5" t="s">
        <v>754</v>
      </c>
      <c r="F7" s="5" t="s">
        <v>91</v>
      </c>
      <c r="G7" s="5"/>
      <c r="H7" s="5"/>
    </row>
    <row r="8" customFormat="false" ht="23.85" hidden="false" customHeight="false" outlineLevel="0" collapsed="false">
      <c r="A8" s="5" t="n">
        <v>4</v>
      </c>
      <c r="B8" s="5" t="s">
        <v>867</v>
      </c>
      <c r="C8" s="5" t="s">
        <v>868</v>
      </c>
      <c r="D8" s="5" t="s">
        <v>869</v>
      </c>
      <c r="E8" s="5" t="s">
        <v>754</v>
      </c>
      <c r="F8" s="5" t="s">
        <v>91</v>
      </c>
      <c r="G8" s="5"/>
      <c r="H8" s="5"/>
    </row>
    <row r="9" customFormat="false" ht="15" hidden="false" customHeight="false" outlineLevel="0" collapsed="false">
      <c r="A9" s="5" t="n">
        <v>5</v>
      </c>
      <c r="B9" s="5" t="s">
        <v>870</v>
      </c>
      <c r="C9" s="5" t="s">
        <v>871</v>
      </c>
      <c r="D9" s="5" t="s">
        <v>872</v>
      </c>
      <c r="E9" s="5" t="s">
        <v>748</v>
      </c>
      <c r="F9" s="5" t="s">
        <v>91</v>
      </c>
      <c r="G9" s="5"/>
      <c r="H9" s="5"/>
    </row>
    <row r="10" customFormat="false" ht="23.85" hidden="false" customHeight="false" outlineLevel="0" collapsed="false">
      <c r="A10" s="5" t="n">
        <v>6</v>
      </c>
      <c r="B10" s="5" t="s">
        <v>873</v>
      </c>
      <c r="C10" s="5" t="s">
        <v>874</v>
      </c>
      <c r="D10" s="5" t="s">
        <v>875</v>
      </c>
      <c r="E10" s="5" t="s">
        <v>754</v>
      </c>
      <c r="F10" s="5" t="s">
        <v>91</v>
      </c>
      <c r="G10" s="5"/>
      <c r="H10" s="5"/>
    </row>
    <row r="11" customFormat="false" ht="23.85" hidden="false" customHeight="false" outlineLevel="0" collapsed="false">
      <c r="A11" s="5" t="n">
        <v>7</v>
      </c>
      <c r="B11" s="5" t="s">
        <v>876</v>
      </c>
      <c r="C11" s="5" t="s">
        <v>877</v>
      </c>
      <c r="D11" s="5" t="s">
        <v>878</v>
      </c>
      <c r="E11" s="5" t="s">
        <v>754</v>
      </c>
      <c r="F11" s="5" t="s">
        <v>91</v>
      </c>
      <c r="G11" s="5"/>
      <c r="H11" s="5"/>
    </row>
    <row r="12" customFormat="false" ht="23.85" hidden="false" customHeight="false" outlineLevel="0" collapsed="false">
      <c r="A12" s="5" t="n">
        <v>8</v>
      </c>
      <c r="B12" s="5" t="s">
        <v>879</v>
      </c>
      <c r="C12" s="5" t="s">
        <v>880</v>
      </c>
      <c r="D12" s="5" t="s">
        <v>881</v>
      </c>
      <c r="E12" s="5" t="s">
        <v>754</v>
      </c>
      <c r="F12" s="5" t="s">
        <v>91</v>
      </c>
      <c r="G12" s="5"/>
      <c r="H12" s="5"/>
    </row>
    <row r="13" customFormat="false" ht="15" hidden="false" customHeight="false" outlineLevel="0" collapsed="false">
      <c r="A13" s="5" t="n">
        <v>9</v>
      </c>
      <c r="B13" s="5" t="s">
        <v>882</v>
      </c>
      <c r="C13" s="5" t="s">
        <v>883</v>
      </c>
      <c r="D13" s="5" t="s">
        <v>884</v>
      </c>
      <c r="E13" s="5" t="s">
        <v>801</v>
      </c>
      <c r="F13" s="5" t="s">
        <v>91</v>
      </c>
      <c r="G13" s="5"/>
      <c r="H13" s="5"/>
    </row>
    <row r="14" customFormat="false" ht="35.05" hidden="false" customHeight="false" outlineLevel="0" collapsed="false">
      <c r="A14" s="5" t="n">
        <v>10</v>
      </c>
      <c r="B14" s="5" t="s">
        <v>885</v>
      </c>
      <c r="C14" s="5" t="s">
        <v>886</v>
      </c>
      <c r="D14" s="5" t="s">
        <v>887</v>
      </c>
      <c r="E14" s="5" t="s">
        <v>748</v>
      </c>
      <c r="F14" s="5" t="s">
        <v>91</v>
      </c>
      <c r="G14" s="5"/>
      <c r="H14" s="5"/>
    </row>
    <row r="15" customFormat="false" ht="23.85" hidden="false" customHeight="false" outlineLevel="0" collapsed="false">
      <c r="A15" s="5" t="n">
        <v>11</v>
      </c>
      <c r="B15" s="5" t="s">
        <v>888</v>
      </c>
      <c r="C15" s="5" t="s">
        <v>889</v>
      </c>
      <c r="D15" s="5" t="s">
        <v>890</v>
      </c>
      <c r="E15" s="5" t="s">
        <v>748</v>
      </c>
      <c r="F15" s="5" t="s">
        <v>91</v>
      </c>
      <c r="G15" s="5"/>
      <c r="H15" s="5"/>
    </row>
    <row r="16" customFormat="false" ht="23.85" hidden="false" customHeight="false" outlineLevel="0" collapsed="false">
      <c r="A16" s="5" t="n">
        <v>12</v>
      </c>
      <c r="B16" s="5" t="s">
        <v>891</v>
      </c>
      <c r="C16" s="5" t="s">
        <v>892</v>
      </c>
      <c r="D16" s="5" t="s">
        <v>893</v>
      </c>
      <c r="E16" s="5" t="s">
        <v>748</v>
      </c>
      <c r="F16" s="5" t="s">
        <v>91</v>
      </c>
      <c r="G16" s="5"/>
      <c r="H16" s="5"/>
    </row>
    <row r="17" customFormat="false" ht="15" hidden="false" customHeight="false" outlineLevel="0" collapsed="false">
      <c r="A17" s="5" t="n">
        <v>13</v>
      </c>
      <c r="B17" s="5" t="s">
        <v>894</v>
      </c>
      <c r="C17" s="5" t="s">
        <v>895</v>
      </c>
      <c r="D17" s="5" t="s">
        <v>884</v>
      </c>
      <c r="E17" s="5" t="s">
        <v>801</v>
      </c>
      <c r="F17" s="5" t="s">
        <v>91</v>
      </c>
      <c r="G17" s="5"/>
      <c r="H17" s="5"/>
    </row>
    <row r="18" customFormat="false" ht="23.85" hidden="false" customHeight="false" outlineLevel="0" collapsed="false">
      <c r="A18" s="5" t="n">
        <v>14</v>
      </c>
      <c r="B18" s="5" t="s">
        <v>896</v>
      </c>
      <c r="C18" s="5" t="s">
        <v>897</v>
      </c>
      <c r="D18" s="5" t="s">
        <v>898</v>
      </c>
      <c r="E18" s="5" t="s">
        <v>748</v>
      </c>
      <c r="F18" s="5" t="s">
        <v>91</v>
      </c>
      <c r="G18" s="5"/>
      <c r="H18" s="5"/>
    </row>
    <row r="19" customFormat="false" ht="23.85" hidden="false" customHeight="false" outlineLevel="0" collapsed="false">
      <c r="A19" s="5" t="n">
        <v>15</v>
      </c>
      <c r="B19" s="5" t="s">
        <v>899</v>
      </c>
      <c r="C19" s="5" t="s">
        <v>900</v>
      </c>
      <c r="D19" s="5" t="s">
        <v>901</v>
      </c>
      <c r="E19" s="5" t="s">
        <v>801</v>
      </c>
      <c r="F19" s="5" t="s">
        <v>91</v>
      </c>
      <c r="G19" s="5"/>
      <c r="H19" s="5"/>
    </row>
    <row r="20" customFormat="false" ht="23.85" hidden="false" customHeight="false" outlineLevel="0" collapsed="false">
      <c r="A20" s="5" t="n">
        <v>16</v>
      </c>
      <c r="B20" s="5" t="s">
        <v>902</v>
      </c>
      <c r="C20" s="5" t="s">
        <v>903</v>
      </c>
      <c r="D20" s="5" t="s">
        <v>904</v>
      </c>
      <c r="E20" s="5" t="s">
        <v>801</v>
      </c>
      <c r="F20" s="5" t="s">
        <v>91</v>
      </c>
      <c r="G20" s="5"/>
      <c r="H20" s="5"/>
    </row>
    <row r="21" customFormat="false" ht="15" hidden="false" customHeight="false" outlineLevel="0" collapsed="false">
      <c r="A21" s="5" t="n">
        <v>17</v>
      </c>
      <c r="B21" s="5" t="s">
        <v>905</v>
      </c>
      <c r="C21" s="5" t="s">
        <v>906</v>
      </c>
      <c r="D21" s="5" t="s">
        <v>907</v>
      </c>
      <c r="E21" s="5" t="s">
        <v>748</v>
      </c>
      <c r="F21" s="5" t="s">
        <v>91</v>
      </c>
      <c r="G21" s="5"/>
      <c r="H21" s="5"/>
    </row>
    <row r="22" customFormat="false" ht="23.85" hidden="false" customHeight="false" outlineLevel="0" collapsed="false">
      <c r="A22" s="5" t="n">
        <v>18</v>
      </c>
      <c r="B22" s="5" t="s">
        <v>908</v>
      </c>
      <c r="C22" s="5" t="s">
        <v>909</v>
      </c>
      <c r="D22" s="5" t="s">
        <v>910</v>
      </c>
      <c r="E22" s="5" t="s">
        <v>748</v>
      </c>
      <c r="F22" s="5" t="s">
        <v>91</v>
      </c>
      <c r="G22" s="5"/>
      <c r="H22" s="5"/>
    </row>
    <row r="23" customFormat="false" ht="23.85" hidden="false" customHeight="false" outlineLevel="0" collapsed="false">
      <c r="A23" s="5" t="n">
        <v>19</v>
      </c>
      <c r="B23" s="5" t="s">
        <v>911</v>
      </c>
      <c r="C23" s="5" t="s">
        <v>912</v>
      </c>
      <c r="D23" s="5" t="s">
        <v>913</v>
      </c>
      <c r="E23" s="5" t="s">
        <v>754</v>
      </c>
      <c r="F23" s="5" t="s">
        <v>91</v>
      </c>
      <c r="G23" s="5"/>
      <c r="H23" s="5"/>
    </row>
    <row r="24" customFormat="false" ht="23.85" hidden="false" customHeight="false" outlineLevel="0" collapsed="false">
      <c r="A24" s="5" t="n">
        <v>20</v>
      </c>
      <c r="B24" s="5" t="s">
        <v>914</v>
      </c>
      <c r="C24" s="5" t="s">
        <v>915</v>
      </c>
      <c r="D24" s="5" t="s">
        <v>901</v>
      </c>
      <c r="E24" s="5" t="s">
        <v>801</v>
      </c>
      <c r="F24" s="5" t="s">
        <v>91</v>
      </c>
      <c r="G24" s="5"/>
      <c r="H24" s="5"/>
    </row>
  </sheetData>
  <autoFilter ref="A4:H24"/>
  <mergeCells count="1">
    <mergeCell ref="A2:H2"/>
  </mergeCells>
  <dataValidations count="1">
    <dataValidation allowBlank="true" errorStyle="stop" operator="between" showDropDown="false" showErrorMessage="false" showInputMessage="false" sqref="F5:F24" type="list">
      <formula1>"Pendiente,En curso,Entregado,No aplica"</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8"/>
    <col collapsed="false" customWidth="true" hidden="false" outlineLevel="0" max="3" min="3" style="0" width="50"/>
    <col collapsed="false" customWidth="true" hidden="false" outlineLevel="0" max="4" min="4" style="0" width="10"/>
    <col collapsed="false" customWidth="true" hidden="false" outlineLevel="0" max="5" min="5" style="0" width="70"/>
    <col collapsed="false" customWidth="true" hidden="false" outlineLevel="0" max="6" min="6" style="0" width="12"/>
    <col collapsed="false" customWidth="true" hidden="false" outlineLevel="0" max="7" min="7" style="0" width="24"/>
  </cols>
  <sheetData>
    <row r="1" customFormat="false" ht="17.35" hidden="false" customHeight="false" outlineLevel="0" collapsed="false">
      <c r="A1" s="12" t="s">
        <v>916</v>
      </c>
    </row>
    <row r="2" customFormat="false" ht="42" hidden="false" customHeight="true" outlineLevel="0" collapsed="false">
      <c r="A2" s="15" t="s">
        <v>917</v>
      </c>
      <c r="B2" s="15"/>
      <c r="C2" s="15"/>
      <c r="D2" s="15"/>
      <c r="E2" s="15"/>
      <c r="F2" s="15"/>
      <c r="G2" s="15"/>
    </row>
    <row r="4" customFormat="false" ht="30" hidden="false" customHeight="true" outlineLevel="0" collapsed="false">
      <c r="A4" s="3" t="s">
        <v>918</v>
      </c>
      <c r="B4" s="3" t="s">
        <v>919</v>
      </c>
      <c r="C4" s="3" t="s">
        <v>70</v>
      </c>
      <c r="D4" s="3" t="s">
        <v>66</v>
      </c>
      <c r="E4" s="3" t="s">
        <v>920</v>
      </c>
      <c r="F4" s="3" t="s">
        <v>77</v>
      </c>
      <c r="G4" s="3" t="s">
        <v>79</v>
      </c>
    </row>
    <row r="5" customFormat="false" ht="15" hidden="false" customHeight="false" outlineLevel="0" collapsed="false">
      <c r="A5" s="5" t="s">
        <v>921</v>
      </c>
      <c r="B5" s="5" t="s">
        <v>131</v>
      </c>
      <c r="C5" s="5" t="s">
        <v>410</v>
      </c>
      <c r="D5" s="5" t="n">
        <v>4058</v>
      </c>
      <c r="E5" s="5" t="s">
        <v>922</v>
      </c>
      <c r="F5" s="5" t="s">
        <v>91</v>
      </c>
      <c r="G5" s="5"/>
    </row>
    <row r="6" customFormat="false" ht="15" hidden="false" customHeight="false" outlineLevel="0" collapsed="false">
      <c r="A6" s="5" t="s">
        <v>921</v>
      </c>
      <c r="B6" s="5" t="s">
        <v>131</v>
      </c>
      <c r="C6" s="5" t="s">
        <v>133</v>
      </c>
      <c r="D6" s="5" t="n">
        <v>4214</v>
      </c>
      <c r="E6" s="5" t="s">
        <v>922</v>
      </c>
      <c r="F6" s="5" t="s">
        <v>91</v>
      </c>
      <c r="G6" s="5"/>
    </row>
    <row r="7" customFormat="false" ht="15" hidden="false" customHeight="false" outlineLevel="0" collapsed="false">
      <c r="A7" s="5" t="s">
        <v>921</v>
      </c>
      <c r="B7" s="5" t="s">
        <v>131</v>
      </c>
      <c r="C7" s="5" t="s">
        <v>144</v>
      </c>
      <c r="D7" s="5" t="n">
        <v>4094</v>
      </c>
      <c r="E7" s="5" t="s">
        <v>922</v>
      </c>
      <c r="F7" s="5" t="s">
        <v>91</v>
      </c>
      <c r="G7" s="5"/>
    </row>
    <row r="8" customFormat="false" ht="15" hidden="false" customHeight="false" outlineLevel="0" collapsed="false">
      <c r="A8" s="5" t="s">
        <v>921</v>
      </c>
      <c r="B8" s="5" t="s">
        <v>131</v>
      </c>
      <c r="C8" s="5" t="s">
        <v>416</v>
      </c>
      <c r="D8" s="5" t="n">
        <v>4138</v>
      </c>
      <c r="E8" s="5" t="s">
        <v>922</v>
      </c>
      <c r="F8" s="5" t="s">
        <v>91</v>
      </c>
      <c r="G8" s="5"/>
    </row>
    <row r="9" customFormat="false" ht="15" hidden="false" customHeight="false" outlineLevel="0" collapsed="false">
      <c r="A9" s="5" t="s">
        <v>921</v>
      </c>
      <c r="B9" s="5" t="s">
        <v>153</v>
      </c>
      <c r="C9" s="5" t="s">
        <v>154</v>
      </c>
      <c r="D9" s="5" t="n">
        <v>4219</v>
      </c>
      <c r="E9" s="5" t="s">
        <v>922</v>
      </c>
      <c r="F9" s="5" t="s">
        <v>91</v>
      </c>
      <c r="G9" s="5"/>
    </row>
    <row r="10" customFormat="false" ht="15" hidden="false" customHeight="false" outlineLevel="0" collapsed="false">
      <c r="A10" s="5" t="s">
        <v>921</v>
      </c>
      <c r="B10" s="5" t="s">
        <v>153</v>
      </c>
      <c r="C10" s="5" t="s">
        <v>163</v>
      </c>
      <c r="D10" s="5" t="n">
        <v>4158</v>
      </c>
      <c r="E10" s="5" t="s">
        <v>922</v>
      </c>
      <c r="F10" s="5" t="s">
        <v>91</v>
      </c>
      <c r="G10" s="5"/>
    </row>
    <row r="11" customFormat="false" ht="23.85" hidden="false" customHeight="false" outlineLevel="0" collapsed="false">
      <c r="A11" s="5" t="s">
        <v>923</v>
      </c>
      <c r="B11" s="5" t="s">
        <v>375</v>
      </c>
      <c r="C11" s="5" t="s">
        <v>376</v>
      </c>
      <c r="D11" s="5" t="n">
        <v>4125</v>
      </c>
      <c r="E11" s="5" t="s">
        <v>924</v>
      </c>
      <c r="F11" s="5" t="s">
        <v>91</v>
      </c>
      <c r="G11" s="5"/>
    </row>
    <row r="12" customFormat="false" ht="23.85" hidden="false" customHeight="false" outlineLevel="0" collapsed="false">
      <c r="A12" s="5" t="s">
        <v>923</v>
      </c>
      <c r="B12" s="5" t="s">
        <v>596</v>
      </c>
      <c r="C12" s="5" t="s">
        <v>597</v>
      </c>
      <c r="D12" s="5" t="n">
        <v>3552</v>
      </c>
      <c r="E12" s="5" t="s">
        <v>924</v>
      </c>
      <c r="F12" s="5" t="s">
        <v>91</v>
      </c>
      <c r="G12" s="5"/>
    </row>
    <row r="13" customFormat="false" ht="15" hidden="false" customHeight="false" outlineLevel="0" collapsed="false">
      <c r="A13" s="5" t="s">
        <v>925</v>
      </c>
      <c r="B13" s="5"/>
      <c r="C13" s="5" t="s">
        <v>566</v>
      </c>
      <c r="D13" s="5" t="n">
        <v>4107</v>
      </c>
      <c r="E13" s="5" t="s">
        <v>926</v>
      </c>
      <c r="F13" s="5" t="s">
        <v>91</v>
      </c>
      <c r="G13" s="5"/>
    </row>
    <row r="14" customFormat="false" ht="15" hidden="false" customHeight="false" outlineLevel="0" collapsed="false">
      <c r="A14" s="5" t="s">
        <v>925</v>
      </c>
      <c r="B14" s="5"/>
      <c r="C14" s="5" t="s">
        <v>582</v>
      </c>
      <c r="D14" s="5" t="n">
        <v>4108</v>
      </c>
      <c r="E14" s="5" t="s">
        <v>926</v>
      </c>
      <c r="F14" s="5" t="s">
        <v>91</v>
      </c>
      <c r="G14" s="5"/>
    </row>
    <row r="15" customFormat="false" ht="15" hidden="false" customHeight="false" outlineLevel="0" collapsed="false">
      <c r="A15" s="5" t="s">
        <v>925</v>
      </c>
      <c r="B15" s="5"/>
      <c r="C15" s="5" t="s">
        <v>548</v>
      </c>
      <c r="D15" s="5" t="n">
        <v>3628</v>
      </c>
      <c r="E15" s="5" t="s">
        <v>926</v>
      </c>
      <c r="F15" s="5" t="s">
        <v>91</v>
      </c>
      <c r="G15" s="5"/>
    </row>
    <row r="16" customFormat="false" ht="15" hidden="false" customHeight="false" outlineLevel="0" collapsed="false">
      <c r="A16" s="5" t="s">
        <v>925</v>
      </c>
      <c r="B16" s="5"/>
      <c r="C16" s="5" t="s">
        <v>264</v>
      </c>
      <c r="D16" s="5" t="n">
        <v>4186</v>
      </c>
      <c r="E16" s="5" t="s">
        <v>926</v>
      </c>
      <c r="F16" s="5" t="s">
        <v>91</v>
      </c>
      <c r="G16" s="5"/>
    </row>
    <row r="17" customFormat="false" ht="15" hidden="false" customHeight="false" outlineLevel="0" collapsed="false">
      <c r="A17" s="5" t="s">
        <v>927</v>
      </c>
      <c r="B17" s="5"/>
      <c r="C17" s="5" t="s">
        <v>473</v>
      </c>
      <c r="D17" s="5"/>
      <c r="E17" s="5" t="s">
        <v>928</v>
      </c>
      <c r="F17" s="5" t="s">
        <v>91</v>
      </c>
      <c r="G17" s="5"/>
    </row>
    <row r="18" customFormat="false" ht="15" hidden="false" customHeight="false" outlineLevel="0" collapsed="false">
      <c r="A18" s="5" t="s">
        <v>927</v>
      </c>
      <c r="B18" s="5"/>
      <c r="C18" s="5" t="s">
        <v>148</v>
      </c>
      <c r="D18" s="5"/>
      <c r="E18" s="5" t="s">
        <v>929</v>
      </c>
      <c r="F18" s="5" t="s">
        <v>91</v>
      </c>
      <c r="G18" s="5"/>
    </row>
    <row r="19" customFormat="false" ht="23.85" hidden="false" customHeight="false" outlineLevel="0" collapsed="false">
      <c r="A19" s="5" t="s">
        <v>930</v>
      </c>
      <c r="B19" s="5" t="s">
        <v>266</v>
      </c>
      <c r="C19" s="5" t="s">
        <v>269</v>
      </c>
      <c r="D19" s="5" t="n">
        <v>3829</v>
      </c>
      <c r="E19" s="5" t="s">
        <v>931</v>
      </c>
      <c r="F19" s="5" t="s">
        <v>91</v>
      </c>
      <c r="G19" s="5"/>
    </row>
    <row r="20" customFormat="false" ht="23.85" hidden="false" customHeight="false" outlineLevel="0" collapsed="false">
      <c r="A20" s="5" t="s">
        <v>930</v>
      </c>
      <c r="B20" s="5" t="s">
        <v>272</v>
      </c>
      <c r="C20" s="5" t="s">
        <v>273</v>
      </c>
      <c r="D20" s="5" t="n">
        <v>3940</v>
      </c>
      <c r="E20" s="5" t="s">
        <v>931</v>
      </c>
      <c r="F20" s="5" t="s">
        <v>91</v>
      </c>
      <c r="G20" s="5"/>
    </row>
    <row r="21" customFormat="false" ht="23.85" hidden="false" customHeight="false" outlineLevel="0" collapsed="false">
      <c r="A21" s="5" t="s">
        <v>930</v>
      </c>
      <c r="B21" s="5" t="s">
        <v>277</v>
      </c>
      <c r="C21" s="5" t="s">
        <v>278</v>
      </c>
      <c r="D21" s="5" t="n">
        <v>3543</v>
      </c>
      <c r="E21" s="5" t="s">
        <v>931</v>
      </c>
      <c r="F21" s="5" t="s">
        <v>91</v>
      </c>
      <c r="G21" s="5"/>
    </row>
    <row r="22" customFormat="false" ht="23.85" hidden="false" customHeight="false" outlineLevel="0" collapsed="false">
      <c r="A22" s="5" t="s">
        <v>930</v>
      </c>
      <c r="B22" s="5" t="s">
        <v>280</v>
      </c>
      <c r="C22" s="5" t="s">
        <v>281</v>
      </c>
      <c r="D22" s="5" t="n">
        <v>3583</v>
      </c>
      <c r="E22" s="5" t="s">
        <v>931</v>
      </c>
      <c r="F22" s="5" t="s">
        <v>91</v>
      </c>
      <c r="G22" s="5"/>
    </row>
    <row r="23" customFormat="false" ht="23.85" hidden="false" customHeight="false" outlineLevel="0" collapsed="false">
      <c r="A23" s="5" t="s">
        <v>930</v>
      </c>
      <c r="B23" s="5" t="s">
        <v>283</v>
      </c>
      <c r="C23" s="5" t="s">
        <v>284</v>
      </c>
      <c r="D23" s="5" t="n">
        <v>4175</v>
      </c>
      <c r="E23" s="5" t="s">
        <v>931</v>
      </c>
      <c r="F23" s="5" t="s">
        <v>91</v>
      </c>
      <c r="G23" s="5"/>
    </row>
    <row r="24" customFormat="false" ht="23.85" hidden="false" customHeight="false" outlineLevel="0" collapsed="false">
      <c r="A24" s="5" t="s">
        <v>930</v>
      </c>
      <c r="B24" s="5" t="s">
        <v>288</v>
      </c>
      <c r="C24" s="5" t="s">
        <v>289</v>
      </c>
      <c r="D24" s="5" t="n">
        <v>3588</v>
      </c>
      <c r="E24" s="5" t="s">
        <v>931</v>
      </c>
      <c r="F24" s="5" t="s">
        <v>91</v>
      </c>
      <c r="G24" s="5"/>
    </row>
    <row r="25" customFormat="false" ht="23.85" hidden="false" customHeight="false" outlineLevel="0" collapsed="false">
      <c r="A25" s="5" t="s">
        <v>930</v>
      </c>
      <c r="B25" s="5" t="s">
        <v>291</v>
      </c>
      <c r="C25" s="5" t="s">
        <v>292</v>
      </c>
      <c r="D25" s="5" t="n">
        <v>4324</v>
      </c>
      <c r="E25" s="5" t="s">
        <v>931</v>
      </c>
      <c r="F25" s="5" t="s">
        <v>91</v>
      </c>
      <c r="G25" s="5"/>
    </row>
    <row r="26" customFormat="false" ht="23.85" hidden="false" customHeight="false" outlineLevel="0" collapsed="false">
      <c r="A26" s="5" t="s">
        <v>930</v>
      </c>
      <c r="B26" s="5" t="s">
        <v>296</v>
      </c>
      <c r="C26" s="5" t="s">
        <v>298</v>
      </c>
      <c r="D26" s="5" t="n">
        <v>3830</v>
      </c>
      <c r="E26" s="5" t="s">
        <v>931</v>
      </c>
      <c r="F26" s="5" t="s">
        <v>91</v>
      </c>
      <c r="G26" s="5"/>
    </row>
    <row r="27" customFormat="false" ht="23.85" hidden="false" customHeight="false" outlineLevel="0" collapsed="false">
      <c r="A27" s="5" t="s">
        <v>930</v>
      </c>
      <c r="B27" s="5" t="s">
        <v>301</v>
      </c>
      <c r="C27" s="5" t="s">
        <v>302</v>
      </c>
      <c r="D27" s="5" t="n">
        <v>3831</v>
      </c>
      <c r="E27" s="5" t="s">
        <v>931</v>
      </c>
      <c r="F27" s="5" t="s">
        <v>91</v>
      </c>
      <c r="G27" s="5"/>
    </row>
    <row r="28" customFormat="false" ht="23.85" hidden="false" customHeight="false" outlineLevel="0" collapsed="false">
      <c r="A28" s="5" t="s">
        <v>930</v>
      </c>
      <c r="B28" s="5" t="s">
        <v>236</v>
      </c>
      <c r="C28" s="5" t="s">
        <v>239</v>
      </c>
      <c r="D28" s="5" t="n">
        <v>3943</v>
      </c>
      <c r="E28" s="5" t="s">
        <v>931</v>
      </c>
      <c r="F28" s="5" t="s">
        <v>91</v>
      </c>
      <c r="G28" s="5"/>
    </row>
    <row r="29" customFormat="false" ht="23.85" hidden="false" customHeight="false" outlineLevel="0" collapsed="false">
      <c r="A29" s="5" t="s">
        <v>930</v>
      </c>
      <c r="B29" s="5" t="s">
        <v>242</v>
      </c>
      <c r="C29" s="5" t="s">
        <v>243</v>
      </c>
      <c r="D29" s="5" t="n">
        <v>4145</v>
      </c>
      <c r="E29" s="5" t="s">
        <v>931</v>
      </c>
      <c r="F29" s="5" t="s">
        <v>91</v>
      </c>
      <c r="G29" s="5"/>
    </row>
    <row r="30" customFormat="false" ht="23.85" hidden="false" customHeight="false" outlineLevel="0" collapsed="false">
      <c r="A30" s="5" t="s">
        <v>930</v>
      </c>
      <c r="B30" s="5" t="s">
        <v>247</v>
      </c>
      <c r="C30" s="5" t="s">
        <v>248</v>
      </c>
      <c r="D30" s="5" t="n">
        <v>3922</v>
      </c>
      <c r="E30" s="5" t="s">
        <v>931</v>
      </c>
      <c r="F30" s="5" t="s">
        <v>91</v>
      </c>
      <c r="G30" s="5"/>
    </row>
    <row r="31" customFormat="false" ht="23.85" hidden="false" customHeight="false" outlineLevel="0" collapsed="false">
      <c r="A31" s="5" t="s">
        <v>930</v>
      </c>
      <c r="B31" s="5" t="s">
        <v>250</v>
      </c>
      <c r="C31" s="5" t="s">
        <v>251</v>
      </c>
      <c r="D31" s="5" t="n">
        <v>4230</v>
      </c>
      <c r="E31" s="5" t="s">
        <v>931</v>
      </c>
      <c r="F31" s="5" t="s">
        <v>91</v>
      </c>
      <c r="G31" s="5"/>
    </row>
    <row r="32" customFormat="false" ht="23.85" hidden="false" customHeight="false" outlineLevel="0" collapsed="false">
      <c r="A32" s="5" t="s">
        <v>930</v>
      </c>
      <c r="B32" s="5" t="s">
        <v>255</v>
      </c>
      <c r="C32" s="5" t="s">
        <v>256</v>
      </c>
      <c r="D32" s="5" t="n">
        <v>4128</v>
      </c>
      <c r="E32" s="5" t="s">
        <v>931</v>
      </c>
      <c r="F32" s="5" t="s">
        <v>91</v>
      </c>
      <c r="G32" s="5"/>
    </row>
    <row r="33" customFormat="false" ht="23.85" hidden="false" customHeight="false" outlineLevel="0" collapsed="false">
      <c r="A33" s="5" t="s">
        <v>930</v>
      </c>
      <c r="B33" s="5" t="s">
        <v>259</v>
      </c>
      <c r="C33" s="5" t="s">
        <v>260</v>
      </c>
      <c r="D33" s="5" t="n">
        <v>4251</v>
      </c>
      <c r="E33" s="5" t="s">
        <v>931</v>
      </c>
      <c r="F33" s="5" t="s">
        <v>91</v>
      </c>
      <c r="G33" s="5"/>
    </row>
    <row r="34" customFormat="false" ht="23.85" hidden="false" customHeight="false" outlineLevel="0" collapsed="false">
      <c r="A34" s="5" t="s">
        <v>930</v>
      </c>
      <c r="B34" s="5"/>
      <c r="C34" s="5" t="s">
        <v>264</v>
      </c>
      <c r="D34" s="5" t="n">
        <v>4186</v>
      </c>
      <c r="E34" s="5" t="s">
        <v>931</v>
      </c>
      <c r="F34" s="5" t="s">
        <v>91</v>
      </c>
      <c r="G34" s="5"/>
    </row>
    <row r="35" customFormat="false" ht="23.85" hidden="false" customHeight="false" outlineLevel="0" collapsed="false">
      <c r="A35" s="5" t="s">
        <v>930</v>
      </c>
      <c r="B35" s="5" t="s">
        <v>206</v>
      </c>
      <c r="C35" s="5" t="s">
        <v>208</v>
      </c>
      <c r="D35" s="5" t="n">
        <v>3576</v>
      </c>
      <c r="E35" s="5" t="s">
        <v>931</v>
      </c>
      <c r="F35" s="5" t="s">
        <v>91</v>
      </c>
      <c r="G35" s="5"/>
    </row>
    <row r="36" customFormat="false" ht="23.85" hidden="false" customHeight="false" outlineLevel="0" collapsed="false">
      <c r="A36" s="5" t="s">
        <v>930</v>
      </c>
      <c r="B36" s="5" t="s">
        <v>211</v>
      </c>
      <c r="C36" s="5" t="s">
        <v>212</v>
      </c>
      <c r="D36" s="5" t="n">
        <v>3990</v>
      </c>
      <c r="E36" s="5" t="s">
        <v>931</v>
      </c>
      <c r="F36" s="5" t="s">
        <v>91</v>
      </c>
      <c r="G36" s="5"/>
    </row>
    <row r="37" customFormat="false" ht="23.85" hidden="false" customHeight="false" outlineLevel="0" collapsed="false">
      <c r="A37" s="5" t="s">
        <v>930</v>
      </c>
      <c r="B37" s="5" t="s">
        <v>218</v>
      </c>
      <c r="C37" s="5" t="s">
        <v>219</v>
      </c>
      <c r="D37" s="5" t="n">
        <v>3603</v>
      </c>
      <c r="E37" s="5" t="s">
        <v>931</v>
      </c>
      <c r="F37" s="5" t="s">
        <v>91</v>
      </c>
      <c r="G37" s="5"/>
    </row>
    <row r="38" customFormat="false" ht="23.85" hidden="false" customHeight="false" outlineLevel="0" collapsed="false">
      <c r="A38" s="5" t="s">
        <v>930</v>
      </c>
      <c r="B38" s="5" t="s">
        <v>221</v>
      </c>
      <c r="C38" s="5" t="s">
        <v>222</v>
      </c>
      <c r="D38" s="5" t="n">
        <v>3604</v>
      </c>
      <c r="E38" s="5" t="s">
        <v>931</v>
      </c>
      <c r="F38" s="5" t="s">
        <v>91</v>
      </c>
      <c r="G38" s="5"/>
    </row>
    <row r="39" customFormat="false" ht="23.85" hidden="false" customHeight="false" outlineLevel="0" collapsed="false">
      <c r="A39" s="5" t="s">
        <v>930</v>
      </c>
      <c r="B39" s="5" t="s">
        <v>224</v>
      </c>
      <c r="C39" s="5" t="s">
        <v>225</v>
      </c>
      <c r="D39" s="5" t="n">
        <v>3991</v>
      </c>
      <c r="E39" s="5" t="s">
        <v>931</v>
      </c>
      <c r="F39" s="5" t="s">
        <v>91</v>
      </c>
      <c r="G39" s="5"/>
    </row>
    <row r="40" customFormat="false" ht="23.85" hidden="false" customHeight="false" outlineLevel="0" collapsed="false">
      <c r="A40" s="5" t="s">
        <v>930</v>
      </c>
      <c r="B40" s="5" t="s">
        <v>227</v>
      </c>
      <c r="C40" s="5" t="s">
        <v>228</v>
      </c>
      <c r="D40" s="5" t="n">
        <v>4144</v>
      </c>
      <c r="E40" s="5" t="s">
        <v>931</v>
      </c>
      <c r="F40" s="5" t="s">
        <v>91</v>
      </c>
      <c r="G40" s="5"/>
    </row>
    <row r="41" customFormat="false" ht="23.85" hidden="false" customHeight="false" outlineLevel="0" collapsed="false">
      <c r="A41" s="5" t="s">
        <v>930</v>
      </c>
      <c r="B41" s="5" t="s">
        <v>215</v>
      </c>
      <c r="C41" s="5" t="s">
        <v>216</v>
      </c>
      <c r="D41" s="5" t="n">
        <v>3992</v>
      </c>
      <c r="E41" s="5" t="s">
        <v>931</v>
      </c>
      <c r="F41" s="5" t="s">
        <v>91</v>
      </c>
      <c r="G41" s="5"/>
    </row>
    <row r="42" customFormat="false" ht="23.85" hidden="false" customHeight="false" outlineLevel="0" collapsed="false">
      <c r="A42" s="5" t="s">
        <v>930</v>
      </c>
      <c r="B42" s="5" t="s">
        <v>233</v>
      </c>
      <c r="C42" s="5" t="s">
        <v>234</v>
      </c>
      <c r="D42" s="5" t="n">
        <v>3608</v>
      </c>
      <c r="E42" s="5" t="s">
        <v>931</v>
      </c>
      <c r="F42" s="5" t="s">
        <v>91</v>
      </c>
      <c r="G42" s="5"/>
    </row>
    <row r="43" customFormat="false" ht="23.85" hidden="false" customHeight="false" outlineLevel="0" collapsed="false">
      <c r="A43" s="5" t="s">
        <v>930</v>
      </c>
      <c r="B43" s="5" t="s">
        <v>230</v>
      </c>
      <c r="C43" s="5" t="s">
        <v>231</v>
      </c>
      <c r="D43" s="5" t="n">
        <v>3609</v>
      </c>
      <c r="E43" s="5" t="s">
        <v>931</v>
      </c>
      <c r="F43" s="5" t="s">
        <v>91</v>
      </c>
      <c r="G43" s="5"/>
    </row>
    <row r="44" customFormat="false" ht="23.85" hidden="false" customHeight="false" outlineLevel="0" collapsed="false">
      <c r="A44" s="5" t="s">
        <v>930</v>
      </c>
      <c r="B44" s="5" t="s">
        <v>81</v>
      </c>
      <c r="C44" s="5" t="s">
        <v>84</v>
      </c>
      <c r="D44" s="5" t="n">
        <v>3668</v>
      </c>
      <c r="E44" s="5" t="s">
        <v>931</v>
      </c>
      <c r="F44" s="5" t="s">
        <v>91</v>
      </c>
      <c r="G44" s="5"/>
    </row>
    <row r="45" customFormat="false" ht="23.85" hidden="false" customHeight="false" outlineLevel="0" collapsed="false">
      <c r="A45" s="5" t="s">
        <v>930</v>
      </c>
      <c r="B45" s="5" t="s">
        <v>92</v>
      </c>
      <c r="C45" s="5" t="s">
        <v>93</v>
      </c>
      <c r="D45" s="5" t="n">
        <v>4305</v>
      </c>
      <c r="E45" s="5" t="s">
        <v>931</v>
      </c>
      <c r="F45" s="5" t="s">
        <v>91</v>
      </c>
      <c r="G45" s="5"/>
    </row>
    <row r="46" customFormat="false" ht="23.85" hidden="false" customHeight="false" outlineLevel="0" collapsed="false">
      <c r="A46" s="5" t="s">
        <v>930</v>
      </c>
      <c r="B46" s="5" t="s">
        <v>97</v>
      </c>
      <c r="C46" s="5" t="s">
        <v>98</v>
      </c>
      <c r="D46" s="5" t="n">
        <v>3678</v>
      </c>
      <c r="E46" s="5" t="s">
        <v>931</v>
      </c>
      <c r="F46" s="5" t="s">
        <v>91</v>
      </c>
      <c r="G46" s="5"/>
    </row>
    <row r="47" customFormat="false" ht="23.85" hidden="false" customHeight="false" outlineLevel="0" collapsed="false">
      <c r="A47" s="5" t="s">
        <v>930</v>
      </c>
      <c r="B47" s="5" t="s">
        <v>100</v>
      </c>
      <c r="C47" s="5" t="s">
        <v>101</v>
      </c>
      <c r="D47" s="5" t="n">
        <v>4237</v>
      </c>
      <c r="E47" s="5" t="s">
        <v>931</v>
      </c>
      <c r="F47" s="5" t="s">
        <v>91</v>
      </c>
      <c r="G47" s="5"/>
    </row>
    <row r="48" customFormat="false" ht="23.85" hidden="false" customHeight="false" outlineLevel="0" collapsed="false">
      <c r="A48" s="5" t="s">
        <v>930</v>
      </c>
      <c r="B48" s="5" t="s">
        <v>103</v>
      </c>
      <c r="C48" s="5" t="s">
        <v>105</v>
      </c>
      <c r="D48" s="5" t="n">
        <v>3549</v>
      </c>
      <c r="E48" s="5" t="s">
        <v>931</v>
      </c>
      <c r="F48" s="5" t="s">
        <v>91</v>
      </c>
      <c r="G48" s="5"/>
    </row>
    <row r="49" customFormat="false" ht="23.85" hidden="false" customHeight="false" outlineLevel="0" collapsed="false">
      <c r="A49" s="5" t="s">
        <v>930</v>
      </c>
      <c r="B49" s="5" t="s">
        <v>108</v>
      </c>
      <c r="C49" s="5" t="s">
        <v>109</v>
      </c>
      <c r="D49" s="5" t="n">
        <v>4012</v>
      </c>
      <c r="E49" s="5" t="s">
        <v>931</v>
      </c>
      <c r="F49" s="5" t="s">
        <v>91</v>
      </c>
      <c r="G49" s="5"/>
    </row>
    <row r="50" customFormat="false" ht="23.85" hidden="false" customHeight="false" outlineLevel="0" collapsed="false">
      <c r="A50" s="5" t="s">
        <v>930</v>
      </c>
      <c r="B50" s="5" t="s">
        <v>111</v>
      </c>
      <c r="C50" s="5" t="s">
        <v>112</v>
      </c>
      <c r="D50" s="5" t="n">
        <v>3861</v>
      </c>
      <c r="E50" s="5" t="s">
        <v>931</v>
      </c>
      <c r="F50" s="5" t="s">
        <v>91</v>
      </c>
      <c r="G50" s="5"/>
    </row>
    <row r="51" customFormat="false" ht="23.85" hidden="false" customHeight="false" outlineLevel="0" collapsed="false">
      <c r="A51" s="5" t="s">
        <v>930</v>
      </c>
      <c r="B51" s="5" t="s">
        <v>114</v>
      </c>
      <c r="C51" s="5" t="s">
        <v>115</v>
      </c>
      <c r="D51" s="5" t="n">
        <v>3866</v>
      </c>
      <c r="E51" s="5" t="s">
        <v>931</v>
      </c>
      <c r="F51" s="5" t="s">
        <v>91</v>
      </c>
      <c r="G51" s="5"/>
    </row>
    <row r="52" customFormat="false" ht="23.85" hidden="false" customHeight="false" outlineLevel="0" collapsed="false">
      <c r="A52" s="5" t="s">
        <v>930</v>
      </c>
      <c r="B52" s="5" t="s">
        <v>117</v>
      </c>
      <c r="C52" s="5" t="s">
        <v>118</v>
      </c>
      <c r="D52" s="5" t="n">
        <v>3942</v>
      </c>
      <c r="E52" s="5" t="s">
        <v>931</v>
      </c>
      <c r="F52" s="5" t="s">
        <v>91</v>
      </c>
      <c r="G52" s="5"/>
    </row>
    <row r="53" customFormat="false" ht="23.85" hidden="false" customHeight="false" outlineLevel="0" collapsed="false">
      <c r="A53" s="5" t="s">
        <v>930</v>
      </c>
      <c r="B53" s="5" t="s">
        <v>122</v>
      </c>
      <c r="C53" s="5" t="s">
        <v>123</v>
      </c>
      <c r="D53" s="5" t="n">
        <v>3938</v>
      </c>
      <c r="E53" s="5" t="s">
        <v>931</v>
      </c>
      <c r="F53" s="5" t="s">
        <v>91</v>
      </c>
      <c r="G53" s="5"/>
    </row>
    <row r="54" customFormat="false" ht="23.85" hidden="false" customHeight="false" outlineLevel="0" collapsed="false">
      <c r="A54" s="5" t="s">
        <v>930</v>
      </c>
      <c r="B54" s="5" t="s">
        <v>125</v>
      </c>
      <c r="C54" s="5" t="s">
        <v>126</v>
      </c>
      <c r="D54" s="5" t="n">
        <v>3708</v>
      </c>
      <c r="E54" s="5" t="s">
        <v>931</v>
      </c>
      <c r="F54" s="5" t="s">
        <v>91</v>
      </c>
      <c r="G54" s="5"/>
    </row>
    <row r="55" customFormat="false" ht="23.85" hidden="false" customHeight="false" outlineLevel="0" collapsed="false">
      <c r="A55" s="5" t="s">
        <v>930</v>
      </c>
      <c r="B55" s="5" t="s">
        <v>177</v>
      </c>
      <c r="C55" s="5" t="s">
        <v>179</v>
      </c>
      <c r="D55" s="5" t="n">
        <v>4277</v>
      </c>
      <c r="E55" s="5" t="s">
        <v>931</v>
      </c>
      <c r="F55" s="5" t="s">
        <v>91</v>
      </c>
      <c r="G55" s="5"/>
    </row>
    <row r="56" customFormat="false" ht="23.85" hidden="false" customHeight="false" outlineLevel="0" collapsed="false">
      <c r="A56" s="5" t="s">
        <v>930</v>
      </c>
      <c r="B56" s="5" t="s">
        <v>183</v>
      </c>
      <c r="C56" s="5" t="s">
        <v>184</v>
      </c>
      <c r="D56" s="5" t="n">
        <v>4213</v>
      </c>
      <c r="E56" s="5" t="s">
        <v>931</v>
      </c>
      <c r="F56" s="5" t="s">
        <v>91</v>
      </c>
      <c r="G56" s="5"/>
    </row>
    <row r="57" customFormat="false" ht="23.85" hidden="false" customHeight="false" outlineLevel="0" collapsed="false">
      <c r="A57" s="5" t="s">
        <v>930</v>
      </c>
      <c r="B57" s="5" t="s">
        <v>187</v>
      </c>
      <c r="C57" s="5" t="s">
        <v>189</v>
      </c>
      <c r="D57" s="5" t="n">
        <v>3726</v>
      </c>
      <c r="E57" s="5" t="s">
        <v>931</v>
      </c>
      <c r="F57" s="5" t="s">
        <v>91</v>
      </c>
      <c r="G57" s="5"/>
    </row>
    <row r="58" customFormat="false" ht="23.85" hidden="false" customHeight="false" outlineLevel="0" collapsed="false">
      <c r="A58" s="5" t="s">
        <v>930</v>
      </c>
      <c r="B58" s="5" t="s">
        <v>193</v>
      </c>
      <c r="C58" s="5" t="s">
        <v>194</v>
      </c>
      <c r="D58" s="5" t="n">
        <v>3732</v>
      </c>
      <c r="E58" s="5" t="s">
        <v>931</v>
      </c>
      <c r="F58" s="5" t="s">
        <v>91</v>
      </c>
      <c r="G58" s="5"/>
    </row>
    <row r="59" customFormat="false" ht="23.85" hidden="false" customHeight="false" outlineLevel="0" collapsed="false">
      <c r="A59" s="5" t="s">
        <v>930</v>
      </c>
      <c r="B59" s="5" t="s">
        <v>198</v>
      </c>
      <c r="C59" s="5" t="s">
        <v>200</v>
      </c>
      <c r="D59" s="5" t="n">
        <v>3747</v>
      </c>
      <c r="E59" s="5" t="s">
        <v>931</v>
      </c>
      <c r="F59" s="5" t="s">
        <v>91</v>
      </c>
      <c r="G59" s="5"/>
    </row>
    <row r="60" customFormat="false" ht="23.85" hidden="false" customHeight="false" outlineLevel="0" collapsed="false">
      <c r="A60" s="5" t="s">
        <v>930</v>
      </c>
      <c r="B60" s="5" t="s">
        <v>203</v>
      </c>
      <c r="C60" s="5" t="s">
        <v>204</v>
      </c>
      <c r="D60" s="5" t="n">
        <v>4311</v>
      </c>
      <c r="E60" s="5" t="s">
        <v>931</v>
      </c>
      <c r="F60" s="5" t="s">
        <v>91</v>
      </c>
      <c r="G60" s="5"/>
    </row>
    <row r="61" customFormat="false" ht="23.85" hidden="false" customHeight="false" outlineLevel="0" collapsed="false">
      <c r="A61" s="5" t="s">
        <v>930</v>
      </c>
      <c r="B61" s="5" t="s">
        <v>131</v>
      </c>
      <c r="C61" s="5" t="s">
        <v>133</v>
      </c>
      <c r="D61" s="5" t="n">
        <v>4214</v>
      </c>
      <c r="E61" s="5" t="s">
        <v>931</v>
      </c>
      <c r="F61" s="5" t="s">
        <v>91</v>
      </c>
      <c r="G61" s="5"/>
    </row>
    <row r="62" customFormat="false" ht="23.85" hidden="false" customHeight="false" outlineLevel="0" collapsed="false">
      <c r="A62" s="5" t="s">
        <v>930</v>
      </c>
      <c r="B62" s="5" t="s">
        <v>137</v>
      </c>
      <c r="C62" s="5" t="s">
        <v>138</v>
      </c>
      <c r="D62" s="5" t="n">
        <v>3796</v>
      </c>
      <c r="E62" s="5" t="s">
        <v>931</v>
      </c>
      <c r="F62" s="5" t="s">
        <v>91</v>
      </c>
      <c r="G62" s="5"/>
    </row>
    <row r="63" customFormat="false" ht="23.85" hidden="false" customHeight="false" outlineLevel="0" collapsed="false">
      <c r="A63" s="5" t="s">
        <v>930</v>
      </c>
      <c r="B63" s="5" t="s">
        <v>141</v>
      </c>
      <c r="C63" s="5" t="s">
        <v>142</v>
      </c>
      <c r="D63" s="5" t="n">
        <v>4266</v>
      </c>
      <c r="E63" s="5" t="s">
        <v>931</v>
      </c>
      <c r="F63" s="5" t="s">
        <v>91</v>
      </c>
      <c r="G63" s="5"/>
    </row>
    <row r="64" customFormat="false" ht="23.85" hidden="false" customHeight="false" outlineLevel="0" collapsed="false">
      <c r="A64" s="5" t="s">
        <v>930</v>
      </c>
      <c r="B64" s="5" t="s">
        <v>131</v>
      </c>
      <c r="C64" s="5" t="s">
        <v>144</v>
      </c>
      <c r="D64" s="5" t="n">
        <v>4094</v>
      </c>
      <c r="E64" s="5" t="s">
        <v>931</v>
      </c>
      <c r="F64" s="5" t="s">
        <v>91</v>
      </c>
      <c r="G64" s="5"/>
    </row>
    <row r="65" customFormat="false" ht="23.85" hidden="false" customHeight="false" outlineLevel="0" collapsed="false">
      <c r="A65" s="5" t="s">
        <v>930</v>
      </c>
      <c r="B65" s="5" t="s">
        <v>146</v>
      </c>
      <c r="C65" s="5" t="s">
        <v>148</v>
      </c>
      <c r="D65" s="5" t="n">
        <v>3770</v>
      </c>
      <c r="E65" s="5" t="s">
        <v>931</v>
      </c>
      <c r="F65" s="5" t="s">
        <v>91</v>
      </c>
      <c r="G65" s="5"/>
    </row>
    <row r="66" customFormat="false" ht="23.85" hidden="false" customHeight="false" outlineLevel="0" collapsed="false">
      <c r="A66" s="5" t="s">
        <v>930</v>
      </c>
      <c r="B66" s="5" t="s">
        <v>150</v>
      </c>
      <c r="C66" s="5" t="s">
        <v>151</v>
      </c>
      <c r="D66" s="5" t="n">
        <v>3771</v>
      </c>
      <c r="E66" s="5" t="s">
        <v>931</v>
      </c>
      <c r="F66" s="5" t="s">
        <v>91</v>
      </c>
      <c r="G66" s="5"/>
    </row>
    <row r="67" customFormat="false" ht="23.85" hidden="false" customHeight="false" outlineLevel="0" collapsed="false">
      <c r="A67" s="5" t="s">
        <v>930</v>
      </c>
      <c r="B67" s="5" t="s">
        <v>153</v>
      </c>
      <c r="C67" s="5" t="s">
        <v>154</v>
      </c>
      <c r="D67" s="5" t="n">
        <v>4219</v>
      </c>
      <c r="E67" s="5" t="s">
        <v>931</v>
      </c>
      <c r="F67" s="5" t="s">
        <v>91</v>
      </c>
      <c r="G67" s="5"/>
    </row>
    <row r="68" customFormat="false" ht="23.85" hidden="false" customHeight="false" outlineLevel="0" collapsed="false">
      <c r="A68" s="5" t="s">
        <v>930</v>
      </c>
      <c r="B68" s="5" t="s">
        <v>157</v>
      </c>
      <c r="C68" s="5" t="s">
        <v>158</v>
      </c>
      <c r="D68" s="5" t="n">
        <v>3901</v>
      </c>
      <c r="E68" s="5" t="s">
        <v>931</v>
      </c>
      <c r="F68" s="5" t="s">
        <v>91</v>
      </c>
      <c r="G68" s="5"/>
    </row>
    <row r="69" customFormat="false" ht="23.85" hidden="false" customHeight="false" outlineLevel="0" collapsed="false">
      <c r="A69" s="5" t="s">
        <v>930</v>
      </c>
      <c r="B69" s="5" t="s">
        <v>160</v>
      </c>
      <c r="C69" s="5" t="s">
        <v>161</v>
      </c>
      <c r="D69" s="5" t="n">
        <v>3773</v>
      </c>
      <c r="E69" s="5" t="s">
        <v>931</v>
      </c>
      <c r="F69" s="5" t="s">
        <v>91</v>
      </c>
      <c r="G69" s="5"/>
    </row>
    <row r="70" customFormat="false" ht="23.85" hidden="false" customHeight="false" outlineLevel="0" collapsed="false">
      <c r="A70" s="5" t="s">
        <v>930</v>
      </c>
      <c r="B70" s="5" t="s">
        <v>153</v>
      </c>
      <c r="C70" s="5" t="s">
        <v>163</v>
      </c>
      <c r="D70" s="5" t="n">
        <v>4158</v>
      </c>
      <c r="E70" s="5" t="s">
        <v>931</v>
      </c>
      <c r="F70" s="5" t="s">
        <v>91</v>
      </c>
      <c r="G70" s="5"/>
    </row>
    <row r="71" customFormat="false" ht="23.85" hidden="false" customHeight="false" outlineLevel="0" collapsed="false">
      <c r="A71" s="5" t="s">
        <v>930</v>
      </c>
      <c r="B71" s="5" t="s">
        <v>166</v>
      </c>
      <c r="C71" s="5" t="s">
        <v>167</v>
      </c>
      <c r="D71" s="5" t="n">
        <v>3774</v>
      </c>
      <c r="E71" s="5" t="s">
        <v>931</v>
      </c>
      <c r="F71" s="5" t="s">
        <v>91</v>
      </c>
      <c r="G71" s="5"/>
    </row>
    <row r="72" customFormat="false" ht="23.85" hidden="false" customHeight="false" outlineLevel="0" collapsed="false">
      <c r="A72" s="5" t="s">
        <v>930</v>
      </c>
      <c r="B72" s="5" t="s">
        <v>169</v>
      </c>
      <c r="C72" s="5" t="s">
        <v>170</v>
      </c>
      <c r="D72" s="5" t="n">
        <v>3777</v>
      </c>
      <c r="E72" s="5" t="s">
        <v>931</v>
      </c>
      <c r="F72" s="5" t="s">
        <v>91</v>
      </c>
      <c r="G72" s="5"/>
    </row>
    <row r="73" customFormat="false" ht="23.85" hidden="false" customHeight="false" outlineLevel="0" collapsed="false">
      <c r="A73" s="5" t="s">
        <v>930</v>
      </c>
      <c r="B73" s="5" t="s">
        <v>174</v>
      </c>
      <c r="C73" s="5" t="s">
        <v>175</v>
      </c>
      <c r="D73" s="5" t="n">
        <v>3778</v>
      </c>
      <c r="E73" s="5" t="s">
        <v>931</v>
      </c>
      <c r="F73" s="5" t="s">
        <v>91</v>
      </c>
      <c r="G73" s="5"/>
    </row>
  </sheetData>
  <autoFilter ref="A4:G73"/>
  <mergeCells count="1">
    <mergeCell ref="A2:G2"/>
  </mergeCells>
  <dataValidations count="1">
    <dataValidation allowBlank="true" errorStyle="stop" operator="between" showDropDown="false" showErrorMessage="false" showInputMessage="false" sqref="F5:F73" type="list">
      <formula1>"Pendiente,En curso,Entregado,No aplica"</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40"/>
    <col collapsed="false" customWidth="true" hidden="false" outlineLevel="0" max="3" min="3" style="0" width="20"/>
    <col collapsed="false" customWidth="true" hidden="false" outlineLevel="0" max="4" min="4" style="0" width="80"/>
    <col collapsed="false" customWidth="true" hidden="false" outlineLevel="0" max="5" min="5" style="0" width="36"/>
    <col collapsed="false" customWidth="true" hidden="false" outlineLevel="0" max="7" min="6" style="0" width="12"/>
    <col collapsed="false" customWidth="true" hidden="false" outlineLevel="0" max="8" min="8" style="0" width="24"/>
  </cols>
  <sheetData>
    <row r="1" customFormat="false" ht="17.35" hidden="false" customHeight="false" outlineLevel="0" collapsed="false">
      <c r="A1" s="12" t="s">
        <v>932</v>
      </c>
    </row>
    <row r="2" customFormat="false" ht="42" hidden="false" customHeight="true" outlineLevel="0" collapsed="false">
      <c r="A2" s="15" t="s">
        <v>933</v>
      </c>
      <c r="B2" s="15"/>
      <c r="C2" s="15"/>
      <c r="D2" s="15"/>
      <c r="E2" s="15"/>
      <c r="F2" s="15"/>
      <c r="G2" s="15"/>
      <c r="H2" s="15"/>
    </row>
    <row r="4" customFormat="false" ht="30" hidden="false" customHeight="true" outlineLevel="0" collapsed="false">
      <c r="A4" s="3" t="s">
        <v>730</v>
      </c>
      <c r="B4" s="3" t="s">
        <v>934</v>
      </c>
      <c r="C4" s="3" t="s">
        <v>935</v>
      </c>
      <c r="D4" s="3" t="s">
        <v>936</v>
      </c>
      <c r="E4" s="3" t="s">
        <v>937</v>
      </c>
      <c r="F4" s="3" t="s">
        <v>65</v>
      </c>
      <c r="G4" s="3" t="s">
        <v>77</v>
      </c>
      <c r="H4" s="3" t="s">
        <v>79</v>
      </c>
    </row>
    <row r="5" customFormat="false" ht="23.85" hidden="false" customHeight="false" outlineLevel="0" collapsed="false">
      <c r="A5" s="5" t="n">
        <v>1</v>
      </c>
      <c r="B5" s="5" t="s">
        <v>938</v>
      </c>
      <c r="C5" s="5" t="s">
        <v>939</v>
      </c>
      <c r="D5" s="5" t="s">
        <v>940</v>
      </c>
      <c r="E5" s="5" t="s">
        <v>856</v>
      </c>
      <c r="F5" s="5" t="s">
        <v>748</v>
      </c>
      <c r="G5" s="5" t="s">
        <v>91</v>
      </c>
      <c r="H5" s="5"/>
    </row>
    <row r="6" customFormat="false" ht="35.05" hidden="false" customHeight="false" outlineLevel="0" collapsed="false">
      <c r="A6" s="5" t="n">
        <v>2</v>
      </c>
      <c r="B6" s="5" t="s">
        <v>941</v>
      </c>
      <c r="C6" s="5" t="s">
        <v>939</v>
      </c>
      <c r="D6" s="5" t="s">
        <v>942</v>
      </c>
      <c r="E6" s="5" t="s">
        <v>943</v>
      </c>
      <c r="F6" s="5" t="s">
        <v>754</v>
      </c>
      <c r="G6" s="5" t="s">
        <v>91</v>
      </c>
      <c r="H6" s="5"/>
    </row>
    <row r="7" customFormat="false" ht="23.85" hidden="false" customHeight="false" outlineLevel="0" collapsed="false">
      <c r="A7" s="5" t="n">
        <v>3</v>
      </c>
      <c r="B7" s="5" t="s">
        <v>944</v>
      </c>
      <c r="C7" s="5" t="s">
        <v>939</v>
      </c>
      <c r="D7" s="5" t="s">
        <v>945</v>
      </c>
      <c r="E7" s="5" t="s">
        <v>946</v>
      </c>
      <c r="F7" s="5" t="s">
        <v>748</v>
      </c>
      <c r="G7" s="5" t="s">
        <v>91</v>
      </c>
      <c r="H7" s="5"/>
    </row>
    <row r="8" customFormat="false" ht="35.05" hidden="false" customHeight="false" outlineLevel="0" collapsed="false">
      <c r="A8" s="5" t="n">
        <v>4</v>
      </c>
      <c r="B8" s="5" t="s">
        <v>947</v>
      </c>
      <c r="C8" s="5" t="s">
        <v>948</v>
      </c>
      <c r="D8" s="5" t="s">
        <v>949</v>
      </c>
      <c r="E8" s="5" t="s">
        <v>950</v>
      </c>
      <c r="F8" s="5" t="s">
        <v>748</v>
      </c>
      <c r="G8" s="5" t="s">
        <v>91</v>
      </c>
      <c r="H8" s="5"/>
    </row>
    <row r="9" customFormat="false" ht="23.85" hidden="false" customHeight="false" outlineLevel="0" collapsed="false">
      <c r="A9" s="5" t="n">
        <v>5</v>
      </c>
      <c r="B9" s="5" t="s">
        <v>951</v>
      </c>
      <c r="C9" s="5" t="s">
        <v>952</v>
      </c>
      <c r="D9" s="5" t="s">
        <v>953</v>
      </c>
      <c r="E9" s="5" t="s">
        <v>954</v>
      </c>
      <c r="F9" s="5" t="s">
        <v>754</v>
      </c>
      <c r="G9" s="5" t="s">
        <v>91</v>
      </c>
      <c r="H9" s="5"/>
    </row>
    <row r="10" customFormat="false" ht="15" hidden="false" customHeight="false" outlineLevel="0" collapsed="false">
      <c r="A10" s="5" t="n">
        <v>6</v>
      </c>
      <c r="B10" s="5" t="s">
        <v>955</v>
      </c>
      <c r="C10" s="5" t="s">
        <v>939</v>
      </c>
      <c r="D10" s="5" t="s">
        <v>956</v>
      </c>
      <c r="E10" s="5" t="s">
        <v>957</v>
      </c>
      <c r="F10" s="5" t="s">
        <v>754</v>
      </c>
      <c r="G10" s="5" t="s">
        <v>91</v>
      </c>
      <c r="H10" s="5"/>
    </row>
    <row r="11" customFormat="false" ht="23.85" hidden="false" customHeight="false" outlineLevel="0" collapsed="false">
      <c r="A11" s="5" t="n">
        <v>7</v>
      </c>
      <c r="B11" s="5" t="s">
        <v>958</v>
      </c>
      <c r="C11" s="5" t="s">
        <v>939</v>
      </c>
      <c r="D11" s="5" t="s">
        <v>959</v>
      </c>
      <c r="E11" s="5" t="s">
        <v>960</v>
      </c>
      <c r="F11" s="5" t="s">
        <v>754</v>
      </c>
      <c r="G11" s="5" t="s">
        <v>91</v>
      </c>
      <c r="H11" s="5"/>
    </row>
    <row r="12" customFormat="false" ht="23.85" hidden="false" customHeight="false" outlineLevel="0" collapsed="false">
      <c r="A12" s="5" t="n">
        <v>8</v>
      </c>
      <c r="B12" s="5" t="s">
        <v>961</v>
      </c>
      <c r="C12" s="5" t="s">
        <v>939</v>
      </c>
      <c r="D12" s="5" t="s">
        <v>962</v>
      </c>
      <c r="E12" s="5" t="s">
        <v>963</v>
      </c>
      <c r="F12" s="5" t="s">
        <v>748</v>
      </c>
      <c r="G12" s="5" t="s">
        <v>91</v>
      </c>
      <c r="H12" s="5"/>
    </row>
    <row r="13" customFormat="false" ht="23.85" hidden="false" customHeight="false" outlineLevel="0" collapsed="false">
      <c r="A13" s="5" t="n">
        <v>9</v>
      </c>
      <c r="B13" s="5" t="s">
        <v>964</v>
      </c>
      <c r="C13" s="5" t="s">
        <v>939</v>
      </c>
      <c r="D13" s="5" t="s">
        <v>965</v>
      </c>
      <c r="E13" s="5" t="s">
        <v>966</v>
      </c>
      <c r="F13" s="5" t="s">
        <v>754</v>
      </c>
      <c r="G13" s="5" t="s">
        <v>91</v>
      </c>
      <c r="H13" s="5"/>
    </row>
    <row r="14" customFormat="false" ht="23.85" hidden="false" customHeight="false" outlineLevel="0" collapsed="false">
      <c r="A14" s="5" t="n">
        <v>10</v>
      </c>
      <c r="B14" s="5" t="s">
        <v>967</v>
      </c>
      <c r="C14" s="5" t="s">
        <v>968</v>
      </c>
      <c r="D14" s="5" t="s">
        <v>969</v>
      </c>
      <c r="E14" s="5" t="s">
        <v>970</v>
      </c>
      <c r="F14" s="5" t="s">
        <v>748</v>
      </c>
      <c r="G14" s="5" t="s">
        <v>91</v>
      </c>
      <c r="H14" s="5"/>
    </row>
    <row r="15" customFormat="false" ht="23.85" hidden="false" customHeight="false" outlineLevel="0" collapsed="false">
      <c r="A15" s="5" t="n">
        <v>11</v>
      </c>
      <c r="B15" s="5" t="s">
        <v>971</v>
      </c>
      <c r="C15" s="5" t="s">
        <v>952</v>
      </c>
      <c r="D15" s="5" t="s">
        <v>972</v>
      </c>
      <c r="E15" s="5" t="s">
        <v>970</v>
      </c>
      <c r="F15" s="5" t="s">
        <v>801</v>
      </c>
      <c r="G15" s="5" t="s">
        <v>91</v>
      </c>
      <c r="H15" s="5"/>
    </row>
    <row r="16" customFormat="false" ht="23.85" hidden="false" customHeight="false" outlineLevel="0" collapsed="false">
      <c r="A16" s="5" t="n">
        <v>12</v>
      </c>
      <c r="B16" s="5" t="s">
        <v>973</v>
      </c>
      <c r="C16" s="5" t="s">
        <v>952</v>
      </c>
      <c r="D16" s="5" t="s">
        <v>974</v>
      </c>
      <c r="E16" s="5" t="s">
        <v>975</v>
      </c>
      <c r="F16" s="5" t="s">
        <v>801</v>
      </c>
      <c r="G16" s="5" t="s">
        <v>91</v>
      </c>
      <c r="H16" s="5"/>
    </row>
    <row r="17" customFormat="false" ht="23.85" hidden="false" customHeight="false" outlineLevel="0" collapsed="false">
      <c r="A17" s="5" t="n">
        <v>13</v>
      </c>
      <c r="B17" s="5" t="s">
        <v>976</v>
      </c>
      <c r="C17" s="5" t="s">
        <v>977</v>
      </c>
      <c r="D17" s="5" t="s">
        <v>978</v>
      </c>
      <c r="E17" s="5" t="s">
        <v>979</v>
      </c>
      <c r="F17" s="5" t="s">
        <v>754</v>
      </c>
      <c r="G17" s="5" t="s">
        <v>91</v>
      </c>
      <c r="H17" s="5"/>
    </row>
    <row r="18" customFormat="false" ht="23.85" hidden="false" customHeight="false" outlineLevel="0" collapsed="false">
      <c r="A18" s="5" t="n">
        <v>14</v>
      </c>
      <c r="B18" s="5" t="s">
        <v>980</v>
      </c>
      <c r="C18" s="5" t="s">
        <v>948</v>
      </c>
      <c r="D18" s="5" t="s">
        <v>981</v>
      </c>
      <c r="E18" s="5" t="s">
        <v>982</v>
      </c>
      <c r="F18" s="5" t="s">
        <v>801</v>
      </c>
      <c r="G18" s="5" t="s">
        <v>91</v>
      </c>
      <c r="H18" s="5"/>
    </row>
    <row r="19" customFormat="false" ht="23.85" hidden="false" customHeight="false" outlineLevel="0" collapsed="false">
      <c r="A19" s="5" t="n">
        <v>15</v>
      </c>
      <c r="B19" s="5" t="s">
        <v>983</v>
      </c>
      <c r="C19" s="5" t="s">
        <v>948</v>
      </c>
      <c r="D19" s="5" t="s">
        <v>984</v>
      </c>
      <c r="E19" s="5" t="s">
        <v>970</v>
      </c>
      <c r="F19" s="5" t="s">
        <v>801</v>
      </c>
      <c r="G19" s="5" t="s">
        <v>91</v>
      </c>
      <c r="H19" s="5"/>
    </row>
    <row r="20" customFormat="false" ht="23.85" hidden="false" customHeight="false" outlineLevel="0" collapsed="false">
      <c r="A20" s="5" t="n">
        <v>16</v>
      </c>
      <c r="B20" s="5" t="s">
        <v>985</v>
      </c>
      <c r="C20" s="5" t="s">
        <v>948</v>
      </c>
      <c r="D20" s="5" t="s">
        <v>986</v>
      </c>
      <c r="E20" s="5" t="s">
        <v>987</v>
      </c>
      <c r="F20" s="5" t="s">
        <v>801</v>
      </c>
      <c r="G20" s="5" t="s">
        <v>91</v>
      </c>
      <c r="H20" s="5"/>
    </row>
  </sheetData>
  <autoFilter ref="A4:H20"/>
  <mergeCells count="1">
    <mergeCell ref="A2:H2"/>
  </mergeCells>
  <dataValidations count="1">
    <dataValidation allowBlank="true" errorStyle="stop" operator="between" showDropDown="false" showErrorMessage="false" showInputMessage="false" sqref="G5:G20" type="list">
      <formula1>"Pendiente,En curso,Entregado,No aplica"</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2026-10-26T12:58:21Z</dcterms:created>
  <dc:creator>openpyxl</dc:creator>
  <dc:description/>
  <dc:language>en-US</dc:language>
  <cp:lastModifiedBy/>
  <dcterms:modified xsi:type="dcterms:W3CDTF">2026-10-26T12:58:21Z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